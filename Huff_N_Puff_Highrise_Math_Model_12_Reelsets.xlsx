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1" documentId="11_E6D2F9AE477A08FE355D0A41014A3B7BE98CD250" xr6:coauthVersionLast="47" xr6:coauthVersionMax="47" xr10:uidLastSave="{2B0F180F-6F6C-423F-836D-E81C17F619AD}"/>
  <bookViews>
    <workbookView xWindow="0" yWindow="0" windowWidth="0" windowHeight="0" activeTab="2" xr2:uid="{00000000-000D-0000-FFFF-FFFF00000000}"/>
  </bookViews>
  <sheets>
    <sheet name="Overview" sheetId="1" r:id="rId1"/>
    <sheet name="Reelsets_12" sheetId="2" r:id="rId2"/>
    <sheet name="Base_Tables" sheetId="3" r:id="rId3"/>
    <sheet name="Normal_FS_Tables" sheetId="4" r:id="rId4"/>
    <sheet name="SuperSaw_FS_Tables" sheetId="5" r:id="rId5"/>
    <sheet name="Prize_Tables" sheetId="6" r:id="rId6"/>
    <sheet name="RTP_Targets" sheetId="7" r:id="rId7"/>
    <sheet name="Execution_Logic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D12" i="7"/>
  <c r="D11" i="7"/>
  <c r="D10" i="7"/>
  <c r="D9" i="7"/>
  <c r="D8" i="7"/>
  <c r="D7" i="7"/>
  <c r="D6" i="7"/>
  <c r="D13" i="7" s="1"/>
  <c r="D31" i="6"/>
  <c r="E31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E32" i="6" s="1"/>
  <c r="C17" i="6"/>
  <c r="C16" i="6"/>
  <c r="C15" i="6"/>
  <c r="C14" i="6"/>
  <c r="C13" i="6"/>
  <c r="C8" i="6"/>
  <c r="C7" i="6"/>
  <c r="C6" i="6"/>
  <c r="C34" i="5"/>
  <c r="C33" i="5"/>
  <c r="C32" i="5"/>
  <c r="C31" i="5"/>
  <c r="C30" i="5"/>
  <c r="C25" i="5"/>
  <c r="C24" i="5"/>
  <c r="C23" i="5"/>
  <c r="C22" i="5"/>
  <c r="C21" i="5"/>
  <c r="C20" i="5"/>
  <c r="C15" i="5"/>
  <c r="C14" i="5"/>
  <c r="C59" i="4"/>
  <c r="C58" i="4"/>
  <c r="C57" i="4"/>
  <c r="C56" i="4"/>
  <c r="C55" i="4"/>
  <c r="C54" i="4"/>
  <c r="C33" i="4"/>
  <c r="C32" i="4"/>
  <c r="C31" i="4"/>
  <c r="C30" i="4"/>
  <c r="C25" i="4"/>
  <c r="C24" i="4"/>
  <c r="C23" i="4"/>
  <c r="C22" i="4"/>
  <c r="C21" i="4"/>
  <c r="C20" i="4"/>
  <c r="C15" i="4"/>
  <c r="C14" i="4"/>
  <c r="C102" i="3"/>
  <c r="C101" i="3"/>
  <c r="C100" i="3"/>
  <c r="C99" i="3"/>
  <c r="C94" i="3"/>
  <c r="C93" i="3"/>
  <c r="C92" i="3"/>
  <c r="C91" i="3"/>
  <c r="C90" i="3"/>
  <c r="C85" i="3"/>
  <c r="C84" i="3"/>
  <c r="C83" i="3"/>
  <c r="C82" i="3"/>
  <c r="C77" i="3"/>
  <c r="C76" i="3"/>
  <c r="E71" i="3"/>
  <c r="D71" i="3"/>
  <c r="C71" i="3"/>
  <c r="B71" i="3"/>
  <c r="C60" i="3"/>
  <c r="C59" i="3"/>
  <c r="C58" i="3"/>
  <c r="C57" i="3"/>
  <c r="C56" i="3"/>
  <c r="C51" i="3"/>
  <c r="C50" i="3"/>
  <c r="C49" i="3"/>
  <c r="C48" i="3"/>
  <c r="C47" i="3"/>
  <c r="C34" i="3"/>
  <c r="C33" i="3"/>
  <c r="C32" i="3"/>
  <c r="E27" i="3"/>
  <c r="D27" i="3"/>
  <c r="C27" i="3"/>
  <c r="B27" i="3"/>
  <c r="C17" i="3"/>
  <c r="C16" i="3"/>
  <c r="C15" i="3"/>
  <c r="C14" i="3"/>
  <c r="C13" i="3"/>
  <c r="C12" i="3"/>
  <c r="C7" i="3"/>
  <c r="C6" i="3"/>
  <c r="E17" i="2"/>
  <c r="E16" i="2"/>
  <c r="E15" i="2"/>
  <c r="E14" i="2"/>
  <c r="E13" i="2"/>
  <c r="E12" i="2"/>
  <c r="E11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<sst xmlns="http://schemas.openxmlformats.org/spreadsheetml/2006/main" count="658" uniqueCount="321">
  <si>
    <t>Huff N' Puff Highrise-Style Math Model</t>
  </si>
  <si>
    <t>12 reelsets + table-driven Hard Hats, expansion, saws, features, and house prize EV.</t>
  </si>
  <si>
    <t>Model Summary</t>
  </si>
  <si>
    <t>Area</t>
  </si>
  <si>
    <t>Choice</t>
  </si>
  <si>
    <t>Notes</t>
  </si>
  <si>
    <t>Game format</t>
  </si>
  <si>
    <t>5 reels, expanding rows, ways pays</t>
  </si>
  <si>
    <t>Base starts at 3 active rows; can expand to 6.</t>
  </si>
  <si>
    <t>Core hook</t>
  </si>
  <si>
    <t>Hard Hats build frames</t>
  </si>
  <si>
    <t>None → Straw → Stick → Brick; house prizes awarded at feature end.</t>
  </si>
  <si>
    <t>Trigger</t>
  </si>
  <si>
    <t>6+ HH-type symbols</t>
  </si>
  <si>
    <t>Super Saw HH in the trigger set sends player to Super Saw Free Spins.</t>
  </si>
  <si>
    <t>Hard Hat source</t>
  </si>
  <si>
    <t>Hybrid / placement-driven</t>
  </si>
  <si>
    <t>Special hats should be placed from tables; normal HH can optionally exist sparsely on strips.</t>
  </si>
  <si>
    <t>Reelset approach</t>
  </si>
  <si>
    <t>12 reelsets</t>
  </si>
  <si>
    <t>4 Base + 4 Normal FS + 4 Super Saw FS.</t>
  </si>
  <si>
    <t>Execution Flow</t>
  </si>
  <si>
    <t>Step</t>
  </si>
  <si>
    <t>Action</t>
  </si>
  <si>
    <t>Select reelset by state + active rows</t>
  </si>
  <si>
    <t>Spin symbols / wilds</t>
  </si>
  <si>
    <t>Apply Mystery Stack if triggered</t>
  </si>
  <si>
    <t>Execute HH placement trigger, count, type, and position tables</t>
  </si>
  <si>
    <t>Resolve Hazard expansion</t>
  </si>
  <si>
    <t>Roll Girder Trigger if 1–5 HH-type symbols are visible</t>
  </si>
  <si>
    <t>Trigger Normal FS or Super Saw FS if 6+ HH-type symbols</t>
  </si>
  <si>
    <t>During feature, persist frames and apply HH/saw upgrades</t>
  </si>
  <si>
    <t>Award Straw/Stick/Brick house prizes at feature end</t>
  </si>
  <si>
    <t>12 Reelset Structure</t>
  </si>
  <si>
    <t>One reelset for each state × active-row condition.</t>
  </si>
  <si>
    <t>Reelset Index</t>
  </si>
  <si>
    <t>Reelset ID</t>
  </si>
  <si>
    <t>State Code</t>
  </si>
  <si>
    <t>Game State</t>
  </si>
  <si>
    <t>Active Rows</t>
  </si>
  <si>
    <t>Ways</t>
  </si>
  <si>
    <t>Purpose</t>
  </si>
  <si>
    <t>Hard Hat Approach</t>
  </si>
  <si>
    <t>Status</t>
  </si>
  <si>
    <t>R1</t>
  </si>
  <si>
    <t>Base</t>
  </si>
  <si>
    <t>Base game</t>
  </si>
  <si>
    <t>Main base strip</t>
  </si>
  <si>
    <t>Placement-driven hats; optional sparse normal HH on strips</t>
  </si>
  <si>
    <t>Editable</t>
  </si>
  <si>
    <t>R2</t>
  </si>
  <si>
    <t>R3</t>
  </si>
  <si>
    <t>R4</t>
  </si>
  <si>
    <t>R5</t>
  </si>
  <si>
    <t>Normal_FS</t>
  </si>
  <si>
    <t>Normal Free Spins</t>
  </si>
  <si>
    <t>Feature strip</t>
  </si>
  <si>
    <t>R6</t>
  </si>
  <si>
    <t>R7</t>
  </si>
  <si>
    <t>R8</t>
  </si>
  <si>
    <t>R9</t>
  </si>
  <si>
    <t>SuperSaw_FS</t>
  </si>
  <si>
    <t>Super Saw Free Spins</t>
  </si>
  <si>
    <t>Premium feature strip</t>
  </si>
  <si>
    <t>R10</t>
  </si>
  <si>
    <t>R11</t>
  </si>
  <si>
    <t>R12</t>
  </si>
  <si>
    <t>Reelset Build Skeleton</t>
  </si>
  <si>
    <t>State</t>
  </si>
  <si>
    <t>Reel</t>
  </si>
  <si>
    <t>Suggested Strip Length</t>
  </si>
  <si>
    <t>Suggested Wild Count</t>
  </si>
  <si>
    <t>Optional HH-on-strip Count</t>
  </si>
  <si>
    <t>Replace these placeholder strip counts with actual strip composition after sim pass.</t>
  </si>
  <si>
    <t>Base Game Tables</t>
  </si>
  <si>
    <t>Placement-driven Hard Hats + Girder Trigger + Mystery Stack.</t>
  </si>
  <si>
    <t>Table A - Base HH Placement Trigger</t>
  </si>
  <si>
    <t>Outcome</t>
  </si>
  <si>
    <t>Weight</t>
  </si>
  <si>
    <t>Probability</t>
  </si>
  <si>
    <t>No HH placement</t>
  </si>
  <si>
    <t>Place HH-type symbols</t>
  </si>
  <si>
    <t>Table B - Base HH Count</t>
  </si>
  <si>
    <t>Number Placed</t>
  </si>
  <si>
    <t>Table C - Base HH Type by Active Rows</t>
  </si>
  <si>
    <t>HH Type</t>
  </si>
  <si>
    <t>3 Rows Weight</t>
  </si>
  <si>
    <t>4 Rows Weight</t>
  </si>
  <si>
    <t>5 Rows Weight</t>
  </si>
  <si>
    <t>6 Rows Weight</t>
  </si>
  <si>
    <t>Normal HH</t>
  </si>
  <si>
    <t>Main scatter / frame symbol</t>
  </si>
  <si>
    <t>Hazard HH</t>
  </si>
  <si>
    <t>Unlock rows; zero at 6 rows</t>
  </si>
  <si>
    <t>Horizontal Saw HH</t>
  </si>
  <si>
    <t>Row path effect</t>
  </si>
  <si>
    <t>Vertical Saw HH</t>
  </si>
  <si>
    <t>Column path effect</t>
  </si>
  <si>
    <t>Super Saw HH</t>
  </si>
  <si>
    <t>Premium feature trigger symbol</t>
  </si>
  <si>
    <t>Total</t>
  </si>
  <si>
    <t>Should equal 10,000</t>
  </si>
  <si>
    <t>Table D - Hazard Row Unlock Count</t>
  </si>
  <si>
    <t>Rows Unlocked</t>
  </si>
  <si>
    <t>+1</t>
  </si>
  <si>
    <t>+2</t>
  </si>
  <si>
    <t>+3</t>
  </si>
  <si>
    <t>Table E - Girder Trigger Chance</t>
  </si>
  <si>
    <t>Visible HH Count</t>
  </si>
  <si>
    <t>Missing to 6</t>
  </si>
  <si>
    <t>Trigger Chance</t>
  </si>
  <si>
    <t>Table F - Girder Completion Symbol Type</t>
  </si>
  <si>
    <t>Added Symbol Type</t>
  </si>
  <si>
    <t>Table G - Base HH Reel Position Weights</t>
  </si>
  <si>
    <t>Table H - Row Position Weights by Active Rows</t>
  </si>
  <si>
    <t>Row</t>
  </si>
  <si>
    <t>3 Rows</t>
  </si>
  <si>
    <t>4 Rows</t>
  </si>
  <si>
    <t>5 Rows</t>
  </si>
  <si>
    <t>6 Rows</t>
  </si>
  <si>
    <t>Table I - Mystery Stack Trigger</t>
  </si>
  <si>
    <t>No Mystery Stack</t>
  </si>
  <si>
    <t>Trigger Mystery Stack</t>
  </si>
  <si>
    <t>Table J - Mystery Stack Reels Affected</t>
  </si>
  <si>
    <t>Reels Affected</t>
  </si>
  <si>
    <t>Table K - Mystery Stack Symbol</t>
  </si>
  <si>
    <t>Symbol</t>
  </si>
  <si>
    <t>Pig1</t>
  </si>
  <si>
    <t>Pig2</t>
  </si>
  <si>
    <t>Pig3</t>
  </si>
  <si>
    <t>Toolbox</t>
  </si>
  <si>
    <t>Tape</t>
  </si>
  <si>
    <t>Table L - Mystery Stack Size</t>
  </si>
  <si>
    <t>Positions Replaced per Affected Reel</t>
  </si>
  <si>
    <t>Full active reel</t>
  </si>
  <si>
    <t>Normal Free Spins Tables</t>
  </si>
  <si>
    <t>6 spins, trigger positions initialize as Straw Frames; normal/saw/hazard placement.</t>
  </si>
  <si>
    <t>Normal FS Setup</t>
  </si>
  <si>
    <t>Parameter</t>
  </si>
  <si>
    <t>Value</t>
  </si>
  <si>
    <t>Starting spins</t>
  </si>
  <si>
    <t>Awarded on feature trigger</t>
  </si>
  <si>
    <t>Starting active rows</t>
  </si>
  <si>
    <t>Trigger screen rows</t>
  </si>
  <si>
    <t>Same as base trigger state</t>
  </si>
  <si>
    <t>Triggering HH positions</t>
  </si>
  <si>
    <t>Straw Frames</t>
  </si>
  <si>
    <t>Each triggering HH-type position becomes Straw</t>
  </si>
  <si>
    <t>Retrigger</t>
  </si>
  <si>
    <t>+1 spin</t>
  </si>
  <si>
    <t>3+ newly landed/placed HH-type symbols</t>
  </si>
  <si>
    <t>Table FS-A - Normal FS HH Placement Trigger</t>
  </si>
  <si>
    <t>No placement</t>
  </si>
  <si>
    <t>Table FS-B - Normal FS HH Count</t>
  </si>
  <si>
    <t>Table FS-C - Normal FS HH Type</t>
  </si>
  <si>
    <t>Hard Hat Type</t>
  </si>
  <si>
    <t>Direct frame upgrade</t>
  </si>
  <si>
    <t>Unlock rows</t>
  </si>
  <si>
    <t>Reel path effect</t>
  </si>
  <si>
    <t>Frame Upgrade Rule</t>
  </si>
  <si>
    <t>Current Frame</t>
  </si>
  <si>
    <t>New Frame</t>
  </si>
  <si>
    <t>None</t>
  </si>
  <si>
    <t>Straw</t>
  </si>
  <si>
    <t>First hit on cell</t>
  </si>
  <si>
    <t>Stick</t>
  </si>
  <si>
    <t>Second hit</t>
  </si>
  <si>
    <t>Brick</t>
  </si>
  <si>
    <t>Third hit</t>
  </si>
  <si>
    <t>Overflow rule</t>
  </si>
  <si>
    <t>Upgrade elsewhere or pay overflow</t>
  </si>
  <si>
    <t>Brick Overflow Rule</t>
  </si>
  <si>
    <t>Priority</t>
  </si>
  <si>
    <t>Upgrade random Stick to Brick</t>
  </si>
  <si>
    <t>Else upgrade random Straw to Stick</t>
  </si>
  <si>
    <t>Else add Straw to random empty active cell</t>
  </si>
  <si>
    <t>Else award overflow prize</t>
  </si>
  <si>
    <t>Table FS-D - Overflow Prize</t>
  </si>
  <si>
    <t>Prize x Bet</t>
  </si>
  <si>
    <t>Super Saw Free Spins Tables</t>
  </si>
  <si>
    <t>Premium feature with higher HH placement frequency and stronger saw density.</t>
  </si>
  <si>
    <t>Super Saw FS Setup</t>
  </si>
  <si>
    <t>Awarded on Super Saw trigger</t>
  </si>
  <si>
    <t>Same as trigger state</t>
  </si>
  <si>
    <t>Straw Frames + optional saw path</t>
  </si>
  <si>
    <t>Recommended: execute saw paths before spin 1</t>
  </si>
  <si>
    <t>3+ Saw/Hazard symbols</t>
  </si>
  <si>
    <t>Table SS-A - Super Saw FS HH Placement Trigger</t>
  </si>
  <si>
    <t>Table SS-B - Super Saw FS HH Count</t>
  </si>
  <si>
    <t>Table SS-C - Super Saw FS HH Type</t>
  </si>
  <si>
    <t>Acts as horizontal + vertical saw</t>
  </si>
  <si>
    <t>Saw Behavior</t>
  </si>
  <si>
    <t>Saw Type</t>
  </si>
  <si>
    <t>Affected Cells</t>
  </si>
  <si>
    <t>Double-Hit Rule</t>
  </si>
  <si>
    <t>All active cells in same row</t>
  </si>
  <si>
    <t>Each unique cell upgrades once</t>
  </si>
  <si>
    <t>All active cells in same reel</t>
  </si>
  <si>
    <t>Same row + same reel</t>
  </si>
  <si>
    <t>Landing cell upgrades once only</t>
  </si>
  <si>
    <t>House Prize Tables</t>
  </si>
  <si>
    <t>End-of-feature frame conversion prizes. All weights and jackpot values are tunable.</t>
  </si>
  <si>
    <t>Table P-A - Straw House Prize</t>
  </si>
  <si>
    <t>Table P-B - Stick House Prize</t>
  </si>
  <si>
    <t>Table P-C - Brick House Prize</t>
  </si>
  <si>
    <t>Prize Type</t>
  </si>
  <si>
    <t>EV Contribution</t>
  </si>
  <si>
    <t>Credit</t>
  </si>
  <si>
    <t>Mini</t>
  </si>
  <si>
    <t>Minor</t>
  </si>
  <si>
    <t>Major</t>
  </si>
  <si>
    <t>Grand</t>
  </si>
  <si>
    <t>Average</t>
  </si>
  <si>
    <t>Jackpot Values</t>
  </si>
  <si>
    <t>Jackpot</t>
  </si>
  <si>
    <t>Value x Bet</t>
  </si>
  <si>
    <t>Tunable</t>
  </si>
  <si>
    <t>Tunable / max-win controlled</t>
  </si>
  <si>
    <t>RTP &amp; Volatility Targets</t>
  </si>
  <si>
    <t>Starting allocation assumptions for initial simulation. Adjust after empirical sim output.</t>
  </si>
  <si>
    <t>RTP Allocation</t>
  </si>
  <si>
    <t>Component</t>
  </si>
  <si>
    <t>Share of RTP</t>
  </si>
  <si>
    <t>Target Game RTP</t>
  </si>
  <si>
    <t>RTP Contribution</t>
  </si>
  <si>
    <t>Base ways wins</t>
  </si>
  <si>
    <t>Mystery Stack wins</t>
  </si>
  <si>
    <t>Base HH/Girder direct effect</t>
  </si>
  <si>
    <t>Overflow / misc</t>
  </si>
  <si>
    <t>Jackpots</t>
  </si>
  <si>
    <t>First-Pass Targets</t>
  </si>
  <si>
    <t>Metric</t>
  </si>
  <si>
    <t>Target</t>
  </si>
  <si>
    <t>Primary Tuning Lever</t>
  </si>
  <si>
    <t>RTP</t>
  </si>
  <si>
    <t>96%</t>
  </si>
  <si>
    <t>Change C6:C12 if testing other profiles</t>
  </si>
  <si>
    <t>Base hit frequency</t>
  </si>
  <si>
    <t>25% - 32%</t>
  </si>
  <si>
    <t>Tune reelsets and Mystery Stack</t>
  </si>
  <si>
    <t>Any feature odds</t>
  </si>
  <si>
    <t>1 in 120</t>
  </si>
  <si>
    <t>Combined Normal + Super Saw</t>
  </si>
  <si>
    <t>Normal FS odds</t>
  </si>
  <si>
    <t>1 in 140</t>
  </si>
  <si>
    <t>Tune Girder + HH placement</t>
  </si>
  <si>
    <t>Super Saw FS odds</t>
  </si>
  <si>
    <t>1 in 900</t>
  </si>
  <si>
    <t>Tune Super Saw HH weight</t>
  </si>
  <si>
    <t>Average Normal FS win</t>
  </si>
  <si>
    <t>35x - 55x</t>
  </si>
  <si>
    <t>Tune frame upgrades and house EV</t>
  </si>
  <si>
    <t>Average Super Saw FS win</t>
  </si>
  <si>
    <t>90x - 160x</t>
  </si>
  <si>
    <t>Tune saw density and retrigger</t>
  </si>
  <si>
    <t>Max win</t>
  </si>
  <si>
    <t>10,000x</t>
  </si>
  <si>
    <t>Cap or prize-table control</t>
  </si>
  <si>
    <t>Volatility Levers</t>
  </si>
  <si>
    <t>Lever</t>
  </si>
  <si>
    <t>Effect</t>
  </si>
  <si>
    <t>Feature trigger odds</t>
  </si>
  <si>
    <t>Bonus frequency and bonus contribution</t>
  </si>
  <si>
    <t>Girder Trigger chance</t>
  </si>
  <si>
    <t>Near-miss conversion</t>
  </si>
  <si>
    <t>Super Saw HH weight</t>
  </si>
  <si>
    <t>Premium feature exposure</t>
  </si>
  <si>
    <t>Saw symbol frequency</t>
  </si>
  <si>
    <t>Frame acceleration and feature EV</t>
  </si>
  <si>
    <t>Hazard frequency</t>
  </si>
  <si>
    <t>Expansion, ways growth, and saw power</t>
  </si>
  <si>
    <t>Brick Prize table</t>
  </si>
  <si>
    <t>Top-end volatility</t>
  </si>
  <si>
    <t>Retrigger condition</t>
  </si>
  <si>
    <t>Feature length</t>
  </si>
  <si>
    <t>Overflow award</t>
  </si>
  <si>
    <t>Full-board value control</t>
  </si>
  <si>
    <t>Execution Logic</t>
  </si>
  <si>
    <t>Implementation notes for simulator / production code.</t>
  </si>
  <si>
    <t>Pseudocode Steps</t>
  </si>
  <si>
    <t>Stage</t>
  </si>
  <si>
    <t>Logic</t>
  </si>
  <si>
    <t>Base 1</t>
  </si>
  <si>
    <t>Select BaseReelset[activeRows]</t>
  </si>
  <si>
    <t>Base 2</t>
  </si>
  <si>
    <t>Spin reels and populate active window</t>
  </si>
  <si>
    <t>Base 3</t>
  </si>
  <si>
    <t>Apply Mystery Stack before HH placement</t>
  </si>
  <si>
    <t>Base 4</t>
  </si>
  <si>
    <t>Roll HH placement trigger/count/type/position</t>
  </si>
  <si>
    <t>Base 5</t>
  </si>
  <si>
    <t>Resolve Hazard expansion, capped at 6 rows</t>
  </si>
  <si>
    <t>Base 6</t>
  </si>
  <si>
    <t>Roll Girder if HH count is 1–5</t>
  </si>
  <si>
    <t>Base 7</t>
  </si>
  <si>
    <t>If 6+ HH symbols, trigger feature</t>
  </si>
  <si>
    <t>Feature 1</t>
  </si>
  <si>
    <t>Initialize triggering HH positions as Straw Frames</t>
  </si>
  <si>
    <t>Feature 2</t>
  </si>
  <si>
    <t>Select FS/SuperFS reelset by active rows</t>
  </si>
  <si>
    <t>Feature 3</t>
  </si>
  <si>
    <t>Place HH-type symbols and resolve Hazard before saws</t>
  </si>
  <si>
    <t>Feature 4</t>
  </si>
  <si>
    <t>Apply HH, HSAW, VSAW, SSAW upgrades</t>
  </si>
  <si>
    <t>Feature 5</t>
  </si>
  <si>
    <t>Check retrigger; decrement remaining spins</t>
  </si>
  <si>
    <t>Feature End</t>
  </si>
  <si>
    <t>Award house prizes by final frame levels</t>
  </si>
  <si>
    <t>Key Implementation Rules</t>
  </si>
  <si>
    <t>Rule</t>
  </si>
  <si>
    <t>Recommendation</t>
  </si>
  <si>
    <t>Duplicate placement</t>
  </si>
  <si>
    <t>Retry up to 20 times; cancel if duplicate persists.</t>
  </si>
  <si>
    <t>Hard Hat strip approach</t>
  </si>
  <si>
    <t>Special hats are placement-driven; normal HH can optionally be sparse on strips.</t>
  </si>
  <si>
    <t>Super Saw behavior</t>
  </si>
  <si>
    <t>Horizontal + vertical saw with unique-cell upgrades only.</t>
  </si>
  <si>
    <t>Hazard timing</t>
  </si>
  <si>
    <t>Resolve before saws so new rows can be affected by saw paths.</t>
  </si>
  <si>
    <t>RTP validation</t>
  </si>
  <si>
    <t>Run feature odds, avg feature wins, max-win exposure, and component RTP after first sim.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</si>
</sst>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1F2937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C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vertical="top" wrapText="1"/>
    </xf>
    <xf numFmtId="10" fontId="0" fillId="0" borderId="1" xfId="0" applyNumberFormat="1" applyFont="1" applyFill="1" applyBorder="1" applyAlignment="1">
      <alignment vertical="top" wrapText="1"/>
    </xf>
    <xf numFmtId="2" fontId="0" fillId="0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3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5:C10">
  <tableColumns count="3">
    <tableColumn id="1" xr3:uid="{00000000-0010-0000-0000-000001000000}" name="Area"/>
    <tableColumn id="2" xr3:uid="{00000000-0010-0000-0000-000002000000}" name="Choice"/>
    <tableColumn id="3" xr3:uid="{00000000-0010-0000-0000-00000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ecutionFlow" displayName="ExecutionFlow" ref="A14:B23">
  <tableColumns count="2">
    <tableColumn id="1" xr3:uid="{00000000-0010-0000-0100-000001000000}" name="Step"/>
    <tableColumn id="2" xr3:uid="{00000000-0010-0000-0100-000002000000}" name="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elsetIndex" displayName="ReelsetIndex" ref="A5:H17">
  <tableColumns count="8">
    <tableColumn id="1" xr3:uid="{00000000-0010-0000-0200-000001000000}" name="Reelset ID"/>
    <tableColumn id="2" xr3:uid="{00000000-0010-0000-0200-000002000000}" name="State Code"/>
    <tableColumn id="3" xr3:uid="{00000000-0010-0000-0200-000003000000}" name="Game State"/>
    <tableColumn id="4" xr3:uid="{00000000-0010-0000-0200-000004000000}" name="Active Rows"/>
    <tableColumn id="5" xr3:uid="{00000000-0010-0000-0200-000005000000}" name="Ways"/>
    <tableColumn id="6" xr3:uid="{00000000-0010-0000-0200-000006000000}" name="Purpose"/>
    <tableColumn id="7" xr3:uid="{00000000-0010-0000-0200-000007000000}" name="Hard Hat Approach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elsetSkeleton" displayName="ReelsetSkeleton" ref="A21:H81">
  <tableColumns count="8">
    <tableColumn id="1" xr3:uid="{00000000-0010-0000-0300-000001000000}" name="Reelset ID"/>
    <tableColumn id="2" xr3:uid="{00000000-0010-0000-0300-000002000000}" name="State"/>
    <tableColumn id="3" xr3:uid="{00000000-0010-0000-0300-000003000000}" name="Active Rows"/>
    <tableColumn id="4" xr3:uid="{00000000-0010-0000-0300-000004000000}" name="Reel"/>
    <tableColumn id="5" xr3:uid="{00000000-0010-0000-0300-000005000000}" name="Suggested Strip Length"/>
    <tableColumn id="6" xr3:uid="{00000000-0010-0000-0300-000006000000}" name="Suggested Wild Count"/>
    <tableColumn id="7" xr3:uid="{00000000-0010-0000-0300-000007000000}" name="Optional HH-on-strip Count"/>
    <tableColumn id="8" xr3:uid="{00000000-0010-0000-03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sePlacementTrigger" displayName="BasePlacementTrigger" ref="A5:C7">
  <tableColumns count="3">
    <tableColumn id="1" xr3:uid="{00000000-0010-0000-0400-000001000000}" name="Outcome"/>
    <tableColumn id="2" xr3:uid="{00000000-0010-0000-0400-000002000000}" name="Weight"/>
    <tableColumn id="3" xr3:uid="{00000000-0010-0000-0400-000003000000}" name="Probabil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seHHCount" displayName="BaseHHCount" ref="A11:C17">
  <tableColumns count="3">
    <tableColumn id="1" xr3:uid="{00000000-0010-0000-0500-000001000000}" name="Number Placed"/>
    <tableColumn id="2" xr3:uid="{00000000-0010-0000-0500-000002000000}" name="Weight"/>
    <tableColumn id="3" xr3:uid="{00000000-0010-0000-0500-000003000000}" name="Probabil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aseHHTypeByRows" displayName="BaseHHTypeByRows" ref="A21:F27">
  <tableColumns count="6">
    <tableColumn id="1" xr3:uid="{00000000-0010-0000-0600-000001000000}" name="HH Type"/>
    <tableColumn id="2" xr3:uid="{00000000-0010-0000-0600-000002000000}" name="3 Rows Weight"/>
    <tableColumn id="3" xr3:uid="{00000000-0010-0000-0600-000003000000}" name="4 Rows Weight"/>
    <tableColumn id="4" xr3:uid="{00000000-0010-0000-0600-000004000000}" name="5 Rows Weight"/>
    <tableColumn id="5" xr3:uid="{00000000-0010-0000-0600-000005000000}" name="6 Rows Weight"/>
    <tableColumn id="6" xr3:uid="{00000000-0010-0000-0600-000006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azardUnlock" displayName="HazardUnlock" ref="A31:C34">
  <tableColumns count="3">
    <tableColumn id="1" xr3:uid="{00000000-0010-0000-0700-000001000000}" name="Rows Unlocked"/>
    <tableColumn id="2" xr3:uid="{00000000-0010-0000-0700-000002000000}" name="Weight"/>
    <tableColumn id="3" xr3:uid="{00000000-0010-0000-0700-000003000000}" name="Probabil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irderTrigger" displayName="GirderTrigger" ref="A38:C43">
  <tableColumns count="3">
    <tableColumn id="1" xr3:uid="{00000000-0010-0000-0800-000001000000}" name="Visible HH Count"/>
    <tableColumn id="2" xr3:uid="{00000000-0010-0000-0800-000002000000}" name="Missing to 6"/>
    <tableColumn id="3" xr3:uid="{00000000-0010-0000-0800-000003000000}" name="Trigger Cha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irderCompletionType" displayName="GirderCompletionType" ref="A46:C51">
  <tableColumns count="3">
    <tableColumn id="1" xr3:uid="{00000000-0010-0000-0900-000001000000}" name="Added Symbol Type"/>
    <tableColumn id="2" xr3:uid="{00000000-0010-0000-0900-000002000000}" name="Weight"/>
    <tableColumn id="3" xr3:uid="{00000000-0010-0000-0900-000003000000}" name="Probabil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BaseHHReelWeights" displayName="BaseHHReelWeights" ref="A55:C60">
  <tableColumns count="3">
    <tableColumn id="1" xr3:uid="{00000000-0010-0000-0A00-000001000000}" name="Reel"/>
    <tableColumn id="2" xr3:uid="{00000000-0010-0000-0A00-000002000000}" name="Weight"/>
    <tableColumn id="3" xr3:uid="{00000000-0010-0000-0A00-000003000000}" name="Probabil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owWeightsByActiveRows" displayName="RowWeightsByActiveRows" ref="A64:E71">
  <tableColumns count="5">
    <tableColumn id="1" xr3:uid="{00000000-0010-0000-0B00-000001000000}" name="Row"/>
    <tableColumn id="2" xr3:uid="{00000000-0010-0000-0B00-000002000000}" name="3 Rows"/>
    <tableColumn id="3" xr3:uid="{00000000-0010-0000-0B00-000003000000}" name="4 Rows"/>
    <tableColumn id="4" xr3:uid="{00000000-0010-0000-0B00-000004000000}" name="5 Rows"/>
    <tableColumn id="5" xr3:uid="{00000000-0010-0000-0B00-000005000000}" name="6 Row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ysteryStackTrigger" displayName="MysteryStackTrigger" ref="A75:C77">
  <tableColumns count="3">
    <tableColumn id="1" xr3:uid="{00000000-0010-0000-0C00-000001000000}" name="Outcome"/>
    <tableColumn id="2" xr3:uid="{00000000-0010-0000-0C00-000002000000}" name="Weight"/>
    <tableColumn id="3" xr3:uid="{00000000-0010-0000-0C00-000003000000}" name="Probabilit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MysteryStackReels" displayName="MysteryStackReels" ref="A81:C85">
  <tableColumns count="3">
    <tableColumn id="1" xr3:uid="{00000000-0010-0000-0D00-000001000000}" name="Reels Affected"/>
    <tableColumn id="2" xr3:uid="{00000000-0010-0000-0D00-000002000000}" name="Weight"/>
    <tableColumn id="3" xr3:uid="{00000000-0010-0000-0D00-000003000000}" name="Probabilit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ysteryStackSymbol" displayName="MysteryStackSymbol" ref="A89:C94">
  <tableColumns count="3">
    <tableColumn id="1" xr3:uid="{00000000-0010-0000-0E00-000001000000}" name="Symbol"/>
    <tableColumn id="2" xr3:uid="{00000000-0010-0000-0E00-000002000000}" name="Weight"/>
    <tableColumn id="3" xr3:uid="{00000000-0010-0000-0E00-000003000000}" name="Probabil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MysteryStackSize" displayName="MysteryStackSize" ref="A98:C102">
  <tableColumns count="3">
    <tableColumn id="1" xr3:uid="{00000000-0010-0000-0F00-000001000000}" name="Positions Replaced per Affected Reel"/>
    <tableColumn id="2" xr3:uid="{00000000-0010-0000-0F00-000002000000}" name="Weight"/>
    <tableColumn id="3" xr3:uid="{00000000-0010-0000-0F00-000003000000}" name="Probabilit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malFSSetup" displayName="NormalFSSetup" ref="A5:C9">
  <tableColumns count="3">
    <tableColumn id="1" xr3:uid="{00000000-0010-0000-1000-000001000000}" name="Parameter"/>
    <tableColumn id="2" xr3:uid="{00000000-0010-0000-1000-000002000000}" name="Value"/>
    <tableColumn id="3" xr3:uid="{00000000-0010-0000-1000-000003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NormalFSPlacementTrigger" displayName="NormalFSPlacementTrigger" ref="A13:C15">
  <tableColumns count="3">
    <tableColumn id="1" xr3:uid="{00000000-0010-0000-1100-000001000000}" name="Outcome"/>
    <tableColumn id="2" xr3:uid="{00000000-0010-0000-1100-000002000000}" name="Weight"/>
    <tableColumn id="3" xr3:uid="{00000000-0010-0000-1100-000003000000}" name="Probabilit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NormalFSHHCount" displayName="NormalFSHHCount" ref="A19:C25">
  <tableColumns count="3">
    <tableColumn id="1" xr3:uid="{00000000-0010-0000-1200-000001000000}" name="Number Placed"/>
    <tableColumn id="2" xr3:uid="{00000000-0010-0000-1200-000002000000}" name="Weight"/>
    <tableColumn id="3" xr3:uid="{00000000-0010-0000-1200-000003000000}" name="Probabilit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NormalFSHHType" displayName="NormalFSHHType" ref="A29:D33">
  <tableColumns count="4">
    <tableColumn id="1" xr3:uid="{00000000-0010-0000-1300-000001000000}" name="Hard Hat Type"/>
    <tableColumn id="2" xr3:uid="{00000000-0010-0000-1300-000002000000}" name="Weight"/>
    <tableColumn id="3" xr3:uid="{00000000-0010-0000-1300-000003000000}" name="Probability"/>
    <tableColumn id="4" xr3:uid="{00000000-0010-0000-1300-000004000000}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rameUpgradeRule" displayName="FrameUpgradeRule" ref="A37:C41">
  <tableColumns count="3">
    <tableColumn id="1" xr3:uid="{00000000-0010-0000-1400-000001000000}" name="Current Frame"/>
    <tableColumn id="2" xr3:uid="{00000000-0010-0000-1400-000002000000}" name="New Frame"/>
    <tableColumn id="3" xr3:uid="{00000000-0010-0000-1400-000003000000}" name="Not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BrickOverflowRule" displayName="BrickOverflowRule" ref="A45:B49">
  <tableColumns count="2">
    <tableColumn id="1" xr3:uid="{00000000-0010-0000-1500-000001000000}" name="Priority"/>
    <tableColumn id="2" xr3:uid="{00000000-0010-0000-1500-000002000000}" name="Acti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OverflowPrize" displayName="OverflowPrize" ref="A53:C59">
  <tableColumns count="3">
    <tableColumn id="1" xr3:uid="{00000000-0010-0000-1600-000001000000}" name="Prize x Bet"/>
    <tableColumn id="2" xr3:uid="{00000000-0010-0000-1600-000002000000}" name="Weight"/>
    <tableColumn id="3" xr3:uid="{00000000-0010-0000-1600-000003000000}" name="Probabilit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SuperSawFSSetup" displayName="SuperSawFSSetup" ref="A5:C9">
  <tableColumns count="3">
    <tableColumn id="1" xr3:uid="{00000000-0010-0000-1700-000001000000}" name="Parameter"/>
    <tableColumn id="2" xr3:uid="{00000000-0010-0000-1700-000002000000}" name="Value"/>
    <tableColumn id="3" xr3:uid="{00000000-0010-0000-1700-000003000000}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uperSawFSPlacementTrigger" displayName="SuperSawFSPlacementTrigger" ref="A13:C15">
  <tableColumns count="3">
    <tableColumn id="1" xr3:uid="{00000000-0010-0000-1800-000001000000}" name="Outcome"/>
    <tableColumn id="2" xr3:uid="{00000000-0010-0000-1800-000002000000}" name="Weight"/>
    <tableColumn id="3" xr3:uid="{00000000-0010-0000-1800-000003000000}" name="Probability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SuperSawFSHHCount" displayName="SuperSawFSHHCount" ref="A19:C25">
  <tableColumns count="3">
    <tableColumn id="1" xr3:uid="{00000000-0010-0000-1900-000001000000}" name="Number Placed"/>
    <tableColumn id="2" xr3:uid="{00000000-0010-0000-1900-000002000000}" name="Weight"/>
    <tableColumn id="3" xr3:uid="{00000000-0010-0000-1900-000003000000}" name="Probability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SuperSawFSHHType" displayName="SuperSawFSHHType" ref="A29:D34">
  <tableColumns count="4">
    <tableColumn id="1" xr3:uid="{00000000-0010-0000-1A00-000001000000}" name="Hard Hat Type"/>
    <tableColumn id="2" xr3:uid="{00000000-0010-0000-1A00-000002000000}" name="Weight"/>
    <tableColumn id="3" xr3:uid="{00000000-0010-0000-1A00-000003000000}" name="Probability"/>
    <tableColumn id="4" xr3:uid="{00000000-0010-0000-1A00-000004000000}" name="Not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awBehavior" displayName="SawBehavior" ref="A38:C41">
  <tableColumns count="3">
    <tableColumn id="1" xr3:uid="{00000000-0010-0000-1B00-000001000000}" name="Saw Type"/>
    <tableColumn id="2" xr3:uid="{00000000-0010-0000-1B00-000002000000}" name="Affected Cells"/>
    <tableColumn id="3" xr3:uid="{00000000-0010-0000-1B00-000003000000}" name="Double-Hit Rul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StrawHousePrize" displayName="StrawHousePrize" ref="A5:C8">
  <tableColumns count="3">
    <tableColumn id="1" xr3:uid="{00000000-0010-0000-1C00-000001000000}" name="Prize x Bet"/>
    <tableColumn id="2" xr3:uid="{00000000-0010-0000-1C00-000002000000}" name="Weight"/>
    <tableColumn id="3" xr3:uid="{00000000-0010-0000-1C00-000003000000}" name="Probabilit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StickHousePrize" displayName="StickHousePrize" ref="A12:C17">
  <tableColumns count="3">
    <tableColumn id="1" xr3:uid="{00000000-0010-0000-1D00-000001000000}" name="Prize x Bet"/>
    <tableColumn id="2" xr3:uid="{00000000-0010-0000-1D00-000002000000}" name="Weight"/>
    <tableColumn id="3" xr3:uid="{00000000-0010-0000-1D00-000003000000}" name="Probabilit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BrickHousePrize" displayName="BrickHousePrize" ref="A21:E32">
  <tableColumns count="5">
    <tableColumn id="1" xr3:uid="{00000000-0010-0000-1E00-000001000000}" name="Prize Type"/>
    <tableColumn id="2" xr3:uid="{00000000-0010-0000-1E00-000002000000}" name="Prize x Bet"/>
    <tableColumn id="3" xr3:uid="{00000000-0010-0000-1E00-000003000000}" name="Weight"/>
    <tableColumn id="4" xr3:uid="{00000000-0010-0000-1E00-000004000000}" name="Probability"/>
    <tableColumn id="5" xr3:uid="{00000000-0010-0000-1E00-000005000000}" name="EV Contributio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JackpotValues" displayName="JackpotValues" ref="A36:C40">
  <tableColumns count="3">
    <tableColumn id="1" xr3:uid="{00000000-0010-0000-1F00-000001000000}" name="Jackpot"/>
    <tableColumn id="2" xr3:uid="{00000000-0010-0000-1F00-000002000000}" name="Value x Bet"/>
    <tableColumn id="3" xr3:uid="{00000000-0010-0000-1F00-000003000000}" name="Not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RTPAllocation" displayName="RTPAllocation" ref="A5:D13">
  <tableColumns count="4">
    <tableColumn id="1" xr3:uid="{00000000-0010-0000-2000-000001000000}" name="Component"/>
    <tableColumn id="2" xr3:uid="{00000000-0010-0000-2000-000002000000}" name="Share of RTP"/>
    <tableColumn id="3" xr3:uid="{00000000-0010-0000-2000-000003000000}" name="Target Game RTP"/>
    <tableColumn id="4" xr3:uid="{00000000-0010-0000-2000-000004000000}" name="RTP Contribution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FirstPassTargets" displayName="FirstPassTargets" ref="A17:C25">
  <tableColumns count="3">
    <tableColumn id="1" xr3:uid="{00000000-0010-0000-2100-000001000000}" name="Metric"/>
    <tableColumn id="2" xr3:uid="{00000000-0010-0000-2100-000002000000}" name="Target"/>
    <tableColumn id="3" xr3:uid="{00000000-0010-0000-2100-000003000000}" name="Primary Tuning Lever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VolatilityLevers" displayName="VolatilityLevers" ref="A30:B38">
  <tableColumns count="2">
    <tableColumn id="1" xr3:uid="{00000000-0010-0000-2200-000001000000}" name="Lever"/>
    <tableColumn id="2" xr3:uid="{00000000-0010-0000-2200-000002000000}" name="Effect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PseudocodeSteps" displayName="PseudocodeSteps" ref="A5:B18">
  <tableColumns count="2">
    <tableColumn id="1" xr3:uid="{00000000-0010-0000-2300-000001000000}" name="Stage"/>
    <tableColumn id="2" xr3:uid="{00000000-0010-0000-2300-000002000000}" name="Logic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ImplementationRules" displayName="ImplementationRules" ref="A22:B27">
  <tableColumns count="2">
    <tableColumn id="1" xr3:uid="{00000000-0010-0000-2400-000001000000}" name="Rule"/>
    <tableColumn id="2" xr3:uid="{00000000-0010-0000-2400-000002000000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21" zoomScaleNormal="100" zoomScaleSheetLayoutView="100" workbookViewId="0"/>
  </sheetViews>
  <sheetFormatPr defaultRowHeight="15"/>
  <cols>
    <col min="1" max="1" width="12" customWidth="1"/>
    <col min="2" max="2" width="90" customWidth="1"/>
    <col min="3" max="3" width="70" customWidth="1"/>
  </cols>
  <sheetData>
    <row r="1" spans="1:11" ht="27.95" customHeight="1">
      <c r="A1" s="5" t="s">
        <v>0</v>
      </c>
      <c r="B1" s="6"/>
      <c r="C1" s="6"/>
      <c r="D1" s="6"/>
      <c r="E1" s="6"/>
      <c r="F1" s="6"/>
      <c r="G1" s="6"/>
      <c r="H1" s="6"/>
      <c r="I1" s="2"/>
      <c r="J1" s="2"/>
      <c r="K1" s="2"/>
    </row>
    <row r="2" spans="1:11" ht="21.95" customHeight="1">
      <c r="A2" s="7" t="s">
        <v>1</v>
      </c>
      <c r="B2" s="8"/>
      <c r="C2" s="8"/>
      <c r="D2" s="8"/>
      <c r="E2" s="8"/>
      <c r="F2" s="8"/>
      <c r="G2" s="8"/>
      <c r="H2" s="8"/>
    </row>
    <row r="4" spans="1:11" ht="20.100000000000001" customHeight="1">
      <c r="A4" s="9" t="s">
        <v>2</v>
      </c>
      <c r="B4" s="8"/>
      <c r="C4" s="8"/>
    </row>
    <row r="5" spans="1:11">
      <c r="A5" s="1" t="s">
        <v>3</v>
      </c>
      <c r="B5" s="1" t="s">
        <v>4</v>
      </c>
      <c r="C5" s="1" t="s">
        <v>5</v>
      </c>
    </row>
    <row r="6" spans="1:11">
      <c r="A6" s="2" t="s">
        <v>6</v>
      </c>
      <c r="B6" s="2" t="s">
        <v>7</v>
      </c>
      <c r="C6" s="2" t="s">
        <v>8</v>
      </c>
    </row>
    <row r="7" spans="1:11">
      <c r="A7" s="2" t="s">
        <v>9</v>
      </c>
      <c r="B7" s="2" t="s">
        <v>10</v>
      </c>
      <c r="C7" s="2" t="s">
        <v>11</v>
      </c>
    </row>
    <row r="8" spans="1:11">
      <c r="A8" s="2" t="s">
        <v>12</v>
      </c>
      <c r="B8" s="2" t="s">
        <v>13</v>
      </c>
      <c r="C8" s="2" t="s">
        <v>14</v>
      </c>
    </row>
    <row r="9" spans="1:11">
      <c r="A9" s="2" t="s">
        <v>15</v>
      </c>
      <c r="B9" s="2" t="s">
        <v>16</v>
      </c>
      <c r="C9" s="2" t="s">
        <v>17</v>
      </c>
    </row>
    <row r="10" spans="1:11">
      <c r="A10" s="2" t="s">
        <v>18</v>
      </c>
      <c r="B10" s="2" t="s">
        <v>19</v>
      </c>
      <c r="C10" s="2" t="s">
        <v>20</v>
      </c>
    </row>
    <row r="13" spans="1:11" ht="20.100000000000001" customHeight="1">
      <c r="A13" s="9" t="s">
        <v>21</v>
      </c>
      <c r="B13" s="8"/>
    </row>
    <row r="14" spans="1:11">
      <c r="A14" s="1" t="s">
        <v>22</v>
      </c>
      <c r="B14" s="1" t="s">
        <v>23</v>
      </c>
    </row>
    <row r="15" spans="1:11">
      <c r="A15" s="2">
        <v>1</v>
      </c>
      <c r="B15" s="2" t="s">
        <v>24</v>
      </c>
    </row>
    <row r="16" spans="1:11">
      <c r="A16" s="2">
        <v>2</v>
      </c>
      <c r="B16" s="2" t="s">
        <v>25</v>
      </c>
    </row>
    <row r="17" spans="1:2">
      <c r="A17" s="2">
        <v>3</v>
      </c>
      <c r="B17" s="2" t="s">
        <v>26</v>
      </c>
    </row>
    <row r="18" spans="1:2">
      <c r="A18" s="2">
        <v>4</v>
      </c>
      <c r="B18" s="2" t="s">
        <v>27</v>
      </c>
    </row>
    <row r="19" spans="1:2">
      <c r="A19" s="2">
        <v>5</v>
      </c>
      <c r="B19" s="2" t="s">
        <v>28</v>
      </c>
    </row>
    <row r="20" spans="1:2">
      <c r="A20" s="2">
        <v>6</v>
      </c>
      <c r="B20" s="2" t="s">
        <v>29</v>
      </c>
    </row>
    <row r="21" spans="1:2">
      <c r="A21" s="2">
        <v>7</v>
      </c>
      <c r="B21" s="2" t="s">
        <v>30</v>
      </c>
    </row>
    <row r="22" spans="1:2">
      <c r="A22" s="2">
        <v>8</v>
      </c>
      <c r="B22" s="2" t="s">
        <v>31</v>
      </c>
    </row>
    <row r="23" spans="1:2">
      <c r="A23" s="2">
        <v>9</v>
      </c>
      <c r="B23" s="2" t="s">
        <v>32</v>
      </c>
    </row>
  </sheetData>
  <mergeCells count="4">
    <mergeCell ref="A1:H1"/>
    <mergeCell ref="A2:H2"/>
    <mergeCell ref="A4:C4"/>
    <mergeCell ref="A13:B13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topLeftCell="A9" zoomScaleNormal="100" zoomScaleSheetLayoutView="100" workbookViewId="0"/>
  </sheetViews>
  <sheetFormatPr defaultRowHeight="15"/>
  <cols>
    <col min="1" max="1" width="12" customWidth="1"/>
    <col min="2" max="2" width="16" customWidth="1"/>
    <col min="3" max="3" width="12" customWidth="1"/>
    <col min="4" max="4" width="8" customWidth="1"/>
    <col min="5" max="6" width="20" customWidth="1"/>
    <col min="7" max="7" width="22" customWidth="1"/>
    <col min="8" max="8" width="60" customWidth="1"/>
  </cols>
  <sheetData>
    <row r="1" spans="1:11" ht="27.95" customHeight="1">
      <c r="A1" s="5" t="s">
        <v>33</v>
      </c>
      <c r="B1" s="6"/>
      <c r="C1" s="6"/>
      <c r="D1" s="6"/>
      <c r="E1" s="6"/>
      <c r="F1" s="6"/>
      <c r="G1" s="6"/>
      <c r="H1" s="6"/>
      <c r="I1" s="6"/>
      <c r="J1" s="6"/>
      <c r="K1" s="2"/>
    </row>
    <row r="2" spans="1:11" ht="21.95" customHeight="1">
      <c r="A2" s="7" t="s">
        <v>34</v>
      </c>
      <c r="B2" s="8"/>
      <c r="C2" s="8"/>
      <c r="D2" s="8"/>
      <c r="E2" s="8"/>
      <c r="F2" s="8"/>
      <c r="G2" s="8"/>
      <c r="H2" s="8"/>
      <c r="I2" s="8"/>
      <c r="J2" s="8"/>
    </row>
    <row r="4" spans="1:11" ht="20.100000000000001" customHeight="1">
      <c r="A4" s="9" t="s">
        <v>35</v>
      </c>
      <c r="B4" s="8"/>
      <c r="C4" s="8"/>
      <c r="D4" s="8"/>
      <c r="E4" s="8"/>
      <c r="F4" s="8"/>
      <c r="G4" s="8"/>
      <c r="H4" s="8"/>
    </row>
    <row r="5" spans="1:11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</row>
    <row r="6" spans="1:11">
      <c r="A6" s="2" t="s">
        <v>44</v>
      </c>
      <c r="B6" s="2" t="s">
        <v>45</v>
      </c>
      <c r="C6" s="2" t="s">
        <v>46</v>
      </c>
      <c r="D6" s="2">
        <v>3</v>
      </c>
      <c r="E6" s="2">
        <f>3^5</f>
        <v>243</v>
      </c>
      <c r="F6" s="2" t="s">
        <v>47</v>
      </c>
      <c r="G6" s="2" t="s">
        <v>48</v>
      </c>
      <c r="H6" s="2" t="s">
        <v>49</v>
      </c>
    </row>
    <row r="7" spans="1:11">
      <c r="A7" s="2" t="s">
        <v>50</v>
      </c>
      <c r="B7" s="2" t="s">
        <v>45</v>
      </c>
      <c r="C7" s="2" t="s">
        <v>46</v>
      </c>
      <c r="D7" s="2">
        <v>4</v>
      </c>
      <c r="E7" s="2">
        <f>4^5</f>
        <v>1024</v>
      </c>
      <c r="F7" s="2" t="s">
        <v>47</v>
      </c>
      <c r="G7" s="2" t="s">
        <v>48</v>
      </c>
      <c r="H7" s="2" t="s">
        <v>49</v>
      </c>
    </row>
    <row r="8" spans="1:11">
      <c r="A8" s="2" t="s">
        <v>51</v>
      </c>
      <c r="B8" s="2" t="s">
        <v>45</v>
      </c>
      <c r="C8" s="2" t="s">
        <v>46</v>
      </c>
      <c r="D8" s="2">
        <v>5</v>
      </c>
      <c r="E8" s="2">
        <f>5^5</f>
        <v>3125</v>
      </c>
      <c r="F8" s="2" t="s">
        <v>47</v>
      </c>
      <c r="G8" s="2" t="s">
        <v>48</v>
      </c>
      <c r="H8" s="2" t="s">
        <v>49</v>
      </c>
    </row>
    <row r="9" spans="1:11">
      <c r="A9" s="2" t="s">
        <v>52</v>
      </c>
      <c r="B9" s="2" t="s">
        <v>45</v>
      </c>
      <c r="C9" s="2" t="s">
        <v>46</v>
      </c>
      <c r="D9" s="2">
        <v>6</v>
      </c>
      <c r="E9" s="2">
        <f>6^5</f>
        <v>7776</v>
      </c>
      <c r="F9" s="2" t="s">
        <v>47</v>
      </c>
      <c r="G9" s="2" t="s">
        <v>48</v>
      </c>
      <c r="H9" s="2" t="s">
        <v>49</v>
      </c>
    </row>
    <row r="10" spans="1:11">
      <c r="A10" s="2" t="s">
        <v>53</v>
      </c>
      <c r="B10" s="2" t="s">
        <v>54</v>
      </c>
      <c r="C10" s="2" t="s">
        <v>55</v>
      </c>
      <c r="D10" s="2">
        <v>3</v>
      </c>
      <c r="E10" s="2">
        <f>3^5</f>
        <v>243</v>
      </c>
      <c r="F10" s="2" t="s">
        <v>56</v>
      </c>
      <c r="G10" s="2" t="s">
        <v>48</v>
      </c>
      <c r="H10" s="2" t="s">
        <v>49</v>
      </c>
    </row>
    <row r="11" spans="1:11">
      <c r="A11" s="2" t="s">
        <v>57</v>
      </c>
      <c r="B11" s="2" t="s">
        <v>54</v>
      </c>
      <c r="C11" s="2" t="s">
        <v>55</v>
      </c>
      <c r="D11" s="2">
        <v>4</v>
      </c>
      <c r="E11" s="2">
        <f>4^5</f>
        <v>1024</v>
      </c>
      <c r="F11" s="2" t="s">
        <v>56</v>
      </c>
      <c r="G11" s="2" t="s">
        <v>48</v>
      </c>
      <c r="H11" s="2" t="s">
        <v>49</v>
      </c>
    </row>
    <row r="12" spans="1:11">
      <c r="A12" s="2" t="s">
        <v>58</v>
      </c>
      <c r="B12" s="2" t="s">
        <v>54</v>
      </c>
      <c r="C12" s="2" t="s">
        <v>55</v>
      </c>
      <c r="D12" s="2">
        <v>5</v>
      </c>
      <c r="E12" s="2">
        <f>5^5</f>
        <v>3125</v>
      </c>
      <c r="F12" s="2" t="s">
        <v>56</v>
      </c>
      <c r="G12" s="2" t="s">
        <v>48</v>
      </c>
      <c r="H12" s="2" t="s">
        <v>49</v>
      </c>
    </row>
    <row r="13" spans="1:11">
      <c r="A13" s="2" t="s">
        <v>59</v>
      </c>
      <c r="B13" s="2" t="s">
        <v>54</v>
      </c>
      <c r="C13" s="2" t="s">
        <v>55</v>
      </c>
      <c r="D13" s="2">
        <v>6</v>
      </c>
      <c r="E13" s="2">
        <f>6^5</f>
        <v>7776</v>
      </c>
      <c r="F13" s="2" t="s">
        <v>56</v>
      </c>
      <c r="G13" s="2" t="s">
        <v>48</v>
      </c>
      <c r="H13" s="2" t="s">
        <v>49</v>
      </c>
    </row>
    <row r="14" spans="1:11">
      <c r="A14" s="2" t="s">
        <v>60</v>
      </c>
      <c r="B14" s="2" t="s">
        <v>61</v>
      </c>
      <c r="C14" s="2" t="s">
        <v>62</v>
      </c>
      <c r="D14" s="2">
        <v>3</v>
      </c>
      <c r="E14" s="2">
        <f>3^5</f>
        <v>243</v>
      </c>
      <c r="F14" s="2" t="s">
        <v>63</v>
      </c>
      <c r="G14" s="2" t="s">
        <v>48</v>
      </c>
      <c r="H14" s="2" t="s">
        <v>49</v>
      </c>
    </row>
    <row r="15" spans="1:11">
      <c r="A15" s="2" t="s">
        <v>64</v>
      </c>
      <c r="B15" s="2" t="s">
        <v>61</v>
      </c>
      <c r="C15" s="2" t="s">
        <v>62</v>
      </c>
      <c r="D15" s="2">
        <v>4</v>
      </c>
      <c r="E15" s="2">
        <f>4^5</f>
        <v>1024</v>
      </c>
      <c r="F15" s="2" t="s">
        <v>63</v>
      </c>
      <c r="G15" s="2" t="s">
        <v>48</v>
      </c>
      <c r="H15" s="2" t="s">
        <v>49</v>
      </c>
    </row>
    <row r="16" spans="1:11">
      <c r="A16" s="2" t="s">
        <v>65</v>
      </c>
      <c r="B16" s="2" t="s">
        <v>61</v>
      </c>
      <c r="C16" s="2" t="s">
        <v>62</v>
      </c>
      <c r="D16" s="2">
        <v>5</v>
      </c>
      <c r="E16" s="2">
        <f>5^5</f>
        <v>3125</v>
      </c>
      <c r="F16" s="2" t="s">
        <v>63</v>
      </c>
      <c r="G16" s="2" t="s">
        <v>48</v>
      </c>
      <c r="H16" s="2" t="s">
        <v>49</v>
      </c>
    </row>
    <row r="17" spans="1:8">
      <c r="A17" s="2" t="s">
        <v>66</v>
      </c>
      <c r="B17" s="2" t="s">
        <v>61</v>
      </c>
      <c r="C17" s="2" t="s">
        <v>62</v>
      </c>
      <c r="D17" s="2">
        <v>6</v>
      </c>
      <c r="E17" s="2">
        <f>6^5</f>
        <v>7776</v>
      </c>
      <c r="F17" s="2" t="s">
        <v>63</v>
      </c>
      <c r="G17" s="2" t="s">
        <v>48</v>
      </c>
      <c r="H17" s="2" t="s">
        <v>49</v>
      </c>
    </row>
    <row r="20" spans="1:8" ht="20.100000000000001" customHeight="1">
      <c r="A20" s="9" t="s">
        <v>67</v>
      </c>
      <c r="B20" s="8"/>
      <c r="C20" s="8"/>
      <c r="D20" s="8"/>
      <c r="E20" s="8"/>
      <c r="F20" s="8"/>
      <c r="G20" s="8"/>
      <c r="H20" s="8"/>
    </row>
    <row r="21" spans="1:8">
      <c r="A21" s="1" t="s">
        <v>36</v>
      </c>
      <c r="B21" s="1" t="s">
        <v>68</v>
      </c>
      <c r="C21" s="1" t="s">
        <v>39</v>
      </c>
      <c r="D21" s="1" t="s">
        <v>69</v>
      </c>
      <c r="E21" s="1" t="s">
        <v>70</v>
      </c>
      <c r="F21" s="1" t="s">
        <v>71</v>
      </c>
      <c r="G21" s="1" t="s">
        <v>72</v>
      </c>
      <c r="H21" s="1" t="s">
        <v>5</v>
      </c>
    </row>
    <row r="22" spans="1:8">
      <c r="A22" s="2" t="s">
        <v>44</v>
      </c>
      <c r="B22" s="2" t="s">
        <v>45</v>
      </c>
      <c r="C22" s="2">
        <v>3</v>
      </c>
      <c r="D22" s="2">
        <v>1</v>
      </c>
      <c r="E22" s="2">
        <v>100</v>
      </c>
      <c r="F22" s="2">
        <v>0</v>
      </c>
      <c r="G22" s="2">
        <v>1</v>
      </c>
      <c r="H22" s="2" t="s">
        <v>73</v>
      </c>
    </row>
    <row r="23" spans="1:8">
      <c r="A23" s="2" t="s">
        <v>44</v>
      </c>
      <c r="B23" s="2" t="s">
        <v>45</v>
      </c>
      <c r="C23" s="2">
        <v>3</v>
      </c>
      <c r="D23" s="2">
        <v>2</v>
      </c>
      <c r="E23" s="2">
        <v>100</v>
      </c>
      <c r="F23" s="2">
        <v>3</v>
      </c>
      <c r="G23" s="2">
        <v>0</v>
      </c>
      <c r="H23" s="2" t="s">
        <v>73</v>
      </c>
    </row>
    <row r="24" spans="1:8">
      <c r="A24" s="2" t="s">
        <v>44</v>
      </c>
      <c r="B24" s="2" t="s">
        <v>45</v>
      </c>
      <c r="C24" s="2">
        <v>3</v>
      </c>
      <c r="D24" s="2">
        <v>3</v>
      </c>
      <c r="E24" s="2">
        <v>100</v>
      </c>
      <c r="F24" s="2">
        <v>3</v>
      </c>
      <c r="G24" s="2">
        <v>1</v>
      </c>
      <c r="H24" s="2" t="s">
        <v>73</v>
      </c>
    </row>
    <row r="25" spans="1:8">
      <c r="A25" s="2" t="s">
        <v>44</v>
      </c>
      <c r="B25" s="2" t="s">
        <v>45</v>
      </c>
      <c r="C25" s="2">
        <v>3</v>
      </c>
      <c r="D25" s="2">
        <v>4</v>
      </c>
      <c r="E25" s="2">
        <v>100</v>
      </c>
      <c r="F25" s="2">
        <v>3</v>
      </c>
      <c r="G25" s="2">
        <v>0</v>
      </c>
      <c r="H25" s="2" t="s">
        <v>73</v>
      </c>
    </row>
    <row r="26" spans="1:8">
      <c r="A26" s="2" t="s">
        <v>44</v>
      </c>
      <c r="B26" s="2" t="s">
        <v>45</v>
      </c>
      <c r="C26" s="2">
        <v>3</v>
      </c>
      <c r="D26" s="2">
        <v>5</v>
      </c>
      <c r="E26" s="2">
        <v>100</v>
      </c>
      <c r="F26" s="2">
        <v>3</v>
      </c>
      <c r="G26" s="2">
        <v>1</v>
      </c>
      <c r="H26" s="2" t="s">
        <v>73</v>
      </c>
    </row>
    <row r="27" spans="1:8">
      <c r="A27" s="2" t="s">
        <v>50</v>
      </c>
      <c r="B27" s="2" t="s">
        <v>45</v>
      </c>
      <c r="C27" s="2">
        <v>4</v>
      </c>
      <c r="D27" s="2">
        <v>1</v>
      </c>
      <c r="E27" s="2">
        <v>100</v>
      </c>
      <c r="F27" s="2">
        <v>0</v>
      </c>
      <c r="G27" s="2">
        <v>1</v>
      </c>
      <c r="H27" s="2" t="s">
        <v>73</v>
      </c>
    </row>
    <row r="28" spans="1:8">
      <c r="A28" s="2" t="s">
        <v>50</v>
      </c>
      <c r="B28" s="2" t="s">
        <v>45</v>
      </c>
      <c r="C28" s="2">
        <v>4</v>
      </c>
      <c r="D28" s="2">
        <v>2</v>
      </c>
      <c r="E28" s="2">
        <v>100</v>
      </c>
      <c r="F28" s="2">
        <v>3</v>
      </c>
      <c r="G28" s="2">
        <v>0</v>
      </c>
      <c r="H28" s="2" t="s">
        <v>73</v>
      </c>
    </row>
    <row r="29" spans="1:8">
      <c r="A29" s="2" t="s">
        <v>50</v>
      </c>
      <c r="B29" s="2" t="s">
        <v>45</v>
      </c>
      <c r="C29" s="2">
        <v>4</v>
      </c>
      <c r="D29" s="2">
        <v>3</v>
      </c>
      <c r="E29" s="2">
        <v>100</v>
      </c>
      <c r="F29" s="2">
        <v>3</v>
      </c>
      <c r="G29" s="2">
        <v>1</v>
      </c>
      <c r="H29" s="2" t="s">
        <v>73</v>
      </c>
    </row>
    <row r="30" spans="1:8">
      <c r="A30" s="2" t="s">
        <v>50</v>
      </c>
      <c r="B30" s="2" t="s">
        <v>45</v>
      </c>
      <c r="C30" s="2">
        <v>4</v>
      </c>
      <c r="D30" s="2">
        <v>4</v>
      </c>
      <c r="E30" s="2">
        <v>100</v>
      </c>
      <c r="F30" s="2">
        <v>3</v>
      </c>
      <c r="G30" s="2">
        <v>0</v>
      </c>
      <c r="H30" s="2" t="s">
        <v>73</v>
      </c>
    </row>
    <row r="31" spans="1:8">
      <c r="A31" s="2" t="s">
        <v>50</v>
      </c>
      <c r="B31" s="2" t="s">
        <v>45</v>
      </c>
      <c r="C31" s="2">
        <v>4</v>
      </c>
      <c r="D31" s="2">
        <v>5</v>
      </c>
      <c r="E31" s="2">
        <v>100</v>
      </c>
      <c r="F31" s="2">
        <v>3</v>
      </c>
      <c r="G31" s="2">
        <v>1</v>
      </c>
      <c r="H31" s="2" t="s">
        <v>73</v>
      </c>
    </row>
    <row r="32" spans="1:8">
      <c r="A32" s="2" t="s">
        <v>51</v>
      </c>
      <c r="B32" s="2" t="s">
        <v>45</v>
      </c>
      <c r="C32" s="2">
        <v>5</v>
      </c>
      <c r="D32" s="2">
        <v>1</v>
      </c>
      <c r="E32" s="2">
        <v>100</v>
      </c>
      <c r="F32" s="2">
        <v>0</v>
      </c>
      <c r="G32" s="2">
        <v>1</v>
      </c>
      <c r="H32" s="2" t="s">
        <v>73</v>
      </c>
    </row>
    <row r="33" spans="1:8">
      <c r="A33" s="2" t="s">
        <v>51</v>
      </c>
      <c r="B33" s="2" t="s">
        <v>45</v>
      </c>
      <c r="C33" s="2">
        <v>5</v>
      </c>
      <c r="D33" s="2">
        <v>2</v>
      </c>
      <c r="E33" s="2">
        <v>100</v>
      </c>
      <c r="F33" s="2">
        <v>3</v>
      </c>
      <c r="G33" s="2">
        <v>0</v>
      </c>
      <c r="H33" s="2" t="s">
        <v>73</v>
      </c>
    </row>
    <row r="34" spans="1:8">
      <c r="A34" s="2" t="s">
        <v>51</v>
      </c>
      <c r="B34" s="2" t="s">
        <v>45</v>
      </c>
      <c r="C34" s="2">
        <v>5</v>
      </c>
      <c r="D34" s="2">
        <v>3</v>
      </c>
      <c r="E34" s="2">
        <v>100</v>
      </c>
      <c r="F34" s="2">
        <v>3</v>
      </c>
      <c r="G34" s="2">
        <v>1</v>
      </c>
      <c r="H34" s="2" t="s">
        <v>73</v>
      </c>
    </row>
    <row r="35" spans="1:8">
      <c r="A35" s="2" t="s">
        <v>51</v>
      </c>
      <c r="B35" s="2" t="s">
        <v>45</v>
      </c>
      <c r="C35" s="2">
        <v>5</v>
      </c>
      <c r="D35" s="2">
        <v>4</v>
      </c>
      <c r="E35" s="2">
        <v>100</v>
      </c>
      <c r="F35" s="2">
        <v>3</v>
      </c>
      <c r="G35" s="2">
        <v>0</v>
      </c>
      <c r="H35" s="2" t="s">
        <v>73</v>
      </c>
    </row>
    <row r="36" spans="1:8">
      <c r="A36" s="2" t="s">
        <v>51</v>
      </c>
      <c r="B36" s="2" t="s">
        <v>45</v>
      </c>
      <c r="C36" s="2">
        <v>5</v>
      </c>
      <c r="D36" s="2">
        <v>5</v>
      </c>
      <c r="E36" s="2">
        <v>100</v>
      </c>
      <c r="F36" s="2">
        <v>3</v>
      </c>
      <c r="G36" s="2">
        <v>1</v>
      </c>
      <c r="H36" s="2" t="s">
        <v>73</v>
      </c>
    </row>
    <row r="37" spans="1:8">
      <c r="A37" s="2" t="s">
        <v>52</v>
      </c>
      <c r="B37" s="2" t="s">
        <v>45</v>
      </c>
      <c r="C37" s="2">
        <v>6</v>
      </c>
      <c r="D37" s="2">
        <v>1</v>
      </c>
      <c r="E37" s="2">
        <v>100</v>
      </c>
      <c r="F37" s="2">
        <v>0</v>
      </c>
      <c r="G37" s="2">
        <v>1</v>
      </c>
      <c r="H37" s="2" t="s">
        <v>73</v>
      </c>
    </row>
    <row r="38" spans="1:8">
      <c r="A38" s="2" t="s">
        <v>52</v>
      </c>
      <c r="B38" s="2" t="s">
        <v>45</v>
      </c>
      <c r="C38" s="2">
        <v>6</v>
      </c>
      <c r="D38" s="2">
        <v>2</v>
      </c>
      <c r="E38" s="2">
        <v>100</v>
      </c>
      <c r="F38" s="2">
        <v>3</v>
      </c>
      <c r="G38" s="2">
        <v>0</v>
      </c>
      <c r="H38" s="2" t="s">
        <v>73</v>
      </c>
    </row>
    <row r="39" spans="1:8">
      <c r="A39" s="2" t="s">
        <v>52</v>
      </c>
      <c r="B39" s="2" t="s">
        <v>45</v>
      </c>
      <c r="C39" s="2">
        <v>6</v>
      </c>
      <c r="D39" s="2">
        <v>3</v>
      </c>
      <c r="E39" s="2">
        <v>100</v>
      </c>
      <c r="F39" s="2">
        <v>3</v>
      </c>
      <c r="G39" s="2">
        <v>1</v>
      </c>
      <c r="H39" s="2" t="s">
        <v>73</v>
      </c>
    </row>
    <row r="40" spans="1:8">
      <c r="A40" s="2" t="s">
        <v>52</v>
      </c>
      <c r="B40" s="2" t="s">
        <v>45</v>
      </c>
      <c r="C40" s="2">
        <v>6</v>
      </c>
      <c r="D40" s="2">
        <v>4</v>
      </c>
      <c r="E40" s="2">
        <v>100</v>
      </c>
      <c r="F40" s="2">
        <v>3</v>
      </c>
      <c r="G40" s="2">
        <v>0</v>
      </c>
      <c r="H40" s="2" t="s">
        <v>73</v>
      </c>
    </row>
    <row r="41" spans="1:8">
      <c r="A41" s="2" t="s">
        <v>52</v>
      </c>
      <c r="B41" s="2" t="s">
        <v>45</v>
      </c>
      <c r="C41" s="2">
        <v>6</v>
      </c>
      <c r="D41" s="2">
        <v>5</v>
      </c>
      <c r="E41" s="2">
        <v>100</v>
      </c>
      <c r="F41" s="2">
        <v>3</v>
      </c>
      <c r="G41" s="2">
        <v>1</v>
      </c>
      <c r="H41" s="2" t="s">
        <v>73</v>
      </c>
    </row>
    <row r="42" spans="1:8">
      <c r="A42" s="2" t="s">
        <v>53</v>
      </c>
      <c r="B42" s="2" t="s">
        <v>54</v>
      </c>
      <c r="C42" s="2">
        <v>3</v>
      </c>
      <c r="D42" s="2">
        <v>1</v>
      </c>
      <c r="E42" s="2">
        <v>100</v>
      </c>
      <c r="F42" s="2">
        <v>0</v>
      </c>
      <c r="G42" s="2">
        <v>0</v>
      </c>
      <c r="H42" s="2" t="s">
        <v>73</v>
      </c>
    </row>
    <row r="43" spans="1:8">
      <c r="A43" s="2" t="s">
        <v>53</v>
      </c>
      <c r="B43" s="2" t="s">
        <v>54</v>
      </c>
      <c r="C43" s="2">
        <v>3</v>
      </c>
      <c r="D43" s="2">
        <v>2</v>
      </c>
      <c r="E43" s="2">
        <v>100</v>
      </c>
      <c r="F43" s="2">
        <v>5</v>
      </c>
      <c r="G43" s="2">
        <v>0</v>
      </c>
      <c r="H43" s="2" t="s">
        <v>73</v>
      </c>
    </row>
    <row r="44" spans="1:8">
      <c r="A44" s="2" t="s">
        <v>53</v>
      </c>
      <c r="B44" s="2" t="s">
        <v>54</v>
      </c>
      <c r="C44" s="2">
        <v>3</v>
      </c>
      <c r="D44" s="2">
        <v>3</v>
      </c>
      <c r="E44" s="2">
        <v>100</v>
      </c>
      <c r="F44" s="2">
        <v>5</v>
      </c>
      <c r="G44" s="2">
        <v>0</v>
      </c>
      <c r="H44" s="2" t="s">
        <v>73</v>
      </c>
    </row>
    <row r="45" spans="1:8">
      <c r="A45" s="2" t="s">
        <v>53</v>
      </c>
      <c r="B45" s="2" t="s">
        <v>54</v>
      </c>
      <c r="C45" s="2">
        <v>3</v>
      </c>
      <c r="D45" s="2">
        <v>4</v>
      </c>
      <c r="E45" s="2">
        <v>100</v>
      </c>
      <c r="F45" s="2">
        <v>5</v>
      </c>
      <c r="G45" s="2">
        <v>0</v>
      </c>
      <c r="H45" s="2" t="s">
        <v>73</v>
      </c>
    </row>
    <row r="46" spans="1:8">
      <c r="A46" s="2" t="s">
        <v>53</v>
      </c>
      <c r="B46" s="2" t="s">
        <v>54</v>
      </c>
      <c r="C46" s="2">
        <v>3</v>
      </c>
      <c r="D46" s="2">
        <v>5</v>
      </c>
      <c r="E46" s="2">
        <v>100</v>
      </c>
      <c r="F46" s="2">
        <v>5</v>
      </c>
      <c r="G46" s="2">
        <v>0</v>
      </c>
      <c r="H46" s="2" t="s">
        <v>73</v>
      </c>
    </row>
    <row r="47" spans="1:8">
      <c r="A47" s="2" t="s">
        <v>57</v>
      </c>
      <c r="B47" s="2" t="s">
        <v>54</v>
      </c>
      <c r="C47" s="2">
        <v>4</v>
      </c>
      <c r="D47" s="2">
        <v>1</v>
      </c>
      <c r="E47" s="2">
        <v>100</v>
      </c>
      <c r="F47" s="2">
        <v>0</v>
      </c>
      <c r="G47" s="2">
        <v>0</v>
      </c>
      <c r="H47" s="2" t="s">
        <v>73</v>
      </c>
    </row>
    <row r="48" spans="1:8">
      <c r="A48" s="2" t="s">
        <v>57</v>
      </c>
      <c r="B48" s="2" t="s">
        <v>54</v>
      </c>
      <c r="C48" s="2">
        <v>4</v>
      </c>
      <c r="D48" s="2">
        <v>2</v>
      </c>
      <c r="E48" s="2">
        <v>100</v>
      </c>
      <c r="F48" s="2">
        <v>5</v>
      </c>
      <c r="G48" s="2">
        <v>0</v>
      </c>
      <c r="H48" s="2" t="s">
        <v>73</v>
      </c>
    </row>
    <row r="49" spans="1:8">
      <c r="A49" s="2" t="s">
        <v>57</v>
      </c>
      <c r="B49" s="2" t="s">
        <v>54</v>
      </c>
      <c r="C49" s="2">
        <v>4</v>
      </c>
      <c r="D49" s="2">
        <v>3</v>
      </c>
      <c r="E49" s="2">
        <v>100</v>
      </c>
      <c r="F49" s="2">
        <v>5</v>
      </c>
      <c r="G49" s="2">
        <v>0</v>
      </c>
      <c r="H49" s="2" t="s">
        <v>73</v>
      </c>
    </row>
    <row r="50" spans="1:8">
      <c r="A50" s="2" t="s">
        <v>57</v>
      </c>
      <c r="B50" s="2" t="s">
        <v>54</v>
      </c>
      <c r="C50" s="2">
        <v>4</v>
      </c>
      <c r="D50" s="2">
        <v>4</v>
      </c>
      <c r="E50" s="2">
        <v>100</v>
      </c>
      <c r="F50" s="2">
        <v>5</v>
      </c>
      <c r="G50" s="2">
        <v>0</v>
      </c>
      <c r="H50" s="2" t="s">
        <v>73</v>
      </c>
    </row>
    <row r="51" spans="1:8">
      <c r="A51" s="2" t="s">
        <v>57</v>
      </c>
      <c r="B51" s="2" t="s">
        <v>54</v>
      </c>
      <c r="C51" s="2">
        <v>4</v>
      </c>
      <c r="D51" s="2">
        <v>5</v>
      </c>
      <c r="E51" s="2">
        <v>100</v>
      </c>
      <c r="F51" s="2">
        <v>5</v>
      </c>
      <c r="G51" s="2">
        <v>0</v>
      </c>
      <c r="H51" s="2" t="s">
        <v>73</v>
      </c>
    </row>
    <row r="52" spans="1:8">
      <c r="A52" s="2" t="s">
        <v>58</v>
      </c>
      <c r="B52" s="2" t="s">
        <v>54</v>
      </c>
      <c r="C52" s="2">
        <v>5</v>
      </c>
      <c r="D52" s="2">
        <v>1</v>
      </c>
      <c r="E52" s="2">
        <v>100</v>
      </c>
      <c r="F52" s="2">
        <v>0</v>
      </c>
      <c r="G52" s="2">
        <v>0</v>
      </c>
      <c r="H52" s="2" t="s">
        <v>73</v>
      </c>
    </row>
    <row r="53" spans="1:8">
      <c r="A53" s="2" t="s">
        <v>58</v>
      </c>
      <c r="B53" s="2" t="s">
        <v>54</v>
      </c>
      <c r="C53" s="2">
        <v>5</v>
      </c>
      <c r="D53" s="2">
        <v>2</v>
      </c>
      <c r="E53" s="2">
        <v>100</v>
      </c>
      <c r="F53" s="2">
        <v>5</v>
      </c>
      <c r="G53" s="2">
        <v>0</v>
      </c>
      <c r="H53" s="2" t="s">
        <v>73</v>
      </c>
    </row>
    <row r="54" spans="1:8">
      <c r="A54" s="2" t="s">
        <v>58</v>
      </c>
      <c r="B54" s="2" t="s">
        <v>54</v>
      </c>
      <c r="C54" s="2">
        <v>5</v>
      </c>
      <c r="D54" s="2">
        <v>3</v>
      </c>
      <c r="E54" s="2">
        <v>100</v>
      </c>
      <c r="F54" s="2">
        <v>5</v>
      </c>
      <c r="G54" s="2">
        <v>0</v>
      </c>
      <c r="H54" s="2" t="s">
        <v>73</v>
      </c>
    </row>
    <row r="55" spans="1:8">
      <c r="A55" s="2" t="s">
        <v>58</v>
      </c>
      <c r="B55" s="2" t="s">
        <v>54</v>
      </c>
      <c r="C55" s="2">
        <v>5</v>
      </c>
      <c r="D55" s="2">
        <v>4</v>
      </c>
      <c r="E55" s="2">
        <v>100</v>
      </c>
      <c r="F55" s="2">
        <v>5</v>
      </c>
      <c r="G55" s="2">
        <v>0</v>
      </c>
      <c r="H55" s="2" t="s">
        <v>73</v>
      </c>
    </row>
    <row r="56" spans="1:8">
      <c r="A56" s="2" t="s">
        <v>58</v>
      </c>
      <c r="B56" s="2" t="s">
        <v>54</v>
      </c>
      <c r="C56" s="2">
        <v>5</v>
      </c>
      <c r="D56" s="2">
        <v>5</v>
      </c>
      <c r="E56" s="2">
        <v>100</v>
      </c>
      <c r="F56" s="2">
        <v>5</v>
      </c>
      <c r="G56" s="2">
        <v>0</v>
      </c>
      <c r="H56" s="2" t="s">
        <v>73</v>
      </c>
    </row>
    <row r="57" spans="1:8">
      <c r="A57" s="2" t="s">
        <v>59</v>
      </c>
      <c r="B57" s="2" t="s">
        <v>54</v>
      </c>
      <c r="C57" s="2">
        <v>6</v>
      </c>
      <c r="D57" s="2">
        <v>1</v>
      </c>
      <c r="E57" s="2">
        <v>100</v>
      </c>
      <c r="F57" s="2">
        <v>0</v>
      </c>
      <c r="G57" s="2">
        <v>0</v>
      </c>
      <c r="H57" s="2" t="s">
        <v>73</v>
      </c>
    </row>
    <row r="58" spans="1:8">
      <c r="A58" s="2" t="s">
        <v>59</v>
      </c>
      <c r="B58" s="2" t="s">
        <v>54</v>
      </c>
      <c r="C58" s="2">
        <v>6</v>
      </c>
      <c r="D58" s="2">
        <v>2</v>
      </c>
      <c r="E58" s="2">
        <v>100</v>
      </c>
      <c r="F58" s="2">
        <v>5</v>
      </c>
      <c r="G58" s="2">
        <v>0</v>
      </c>
      <c r="H58" s="2" t="s">
        <v>73</v>
      </c>
    </row>
    <row r="59" spans="1:8">
      <c r="A59" s="2" t="s">
        <v>59</v>
      </c>
      <c r="B59" s="2" t="s">
        <v>54</v>
      </c>
      <c r="C59" s="2">
        <v>6</v>
      </c>
      <c r="D59" s="2">
        <v>3</v>
      </c>
      <c r="E59" s="2">
        <v>100</v>
      </c>
      <c r="F59" s="2">
        <v>5</v>
      </c>
      <c r="G59" s="2">
        <v>0</v>
      </c>
      <c r="H59" s="2" t="s">
        <v>73</v>
      </c>
    </row>
    <row r="60" spans="1:8">
      <c r="A60" s="2" t="s">
        <v>59</v>
      </c>
      <c r="B60" s="2" t="s">
        <v>54</v>
      </c>
      <c r="C60" s="2">
        <v>6</v>
      </c>
      <c r="D60" s="2">
        <v>4</v>
      </c>
      <c r="E60" s="2">
        <v>100</v>
      </c>
      <c r="F60" s="2">
        <v>5</v>
      </c>
      <c r="G60" s="2">
        <v>0</v>
      </c>
      <c r="H60" s="2" t="s">
        <v>73</v>
      </c>
    </row>
    <row r="61" spans="1:8">
      <c r="A61" s="2" t="s">
        <v>59</v>
      </c>
      <c r="B61" s="2" t="s">
        <v>54</v>
      </c>
      <c r="C61" s="2">
        <v>6</v>
      </c>
      <c r="D61" s="2">
        <v>5</v>
      </c>
      <c r="E61" s="2">
        <v>100</v>
      </c>
      <c r="F61" s="2">
        <v>5</v>
      </c>
      <c r="G61" s="2">
        <v>0</v>
      </c>
      <c r="H61" s="2" t="s">
        <v>73</v>
      </c>
    </row>
    <row r="62" spans="1:8">
      <c r="A62" s="2" t="s">
        <v>60</v>
      </c>
      <c r="B62" s="2" t="s">
        <v>61</v>
      </c>
      <c r="C62" s="2">
        <v>3</v>
      </c>
      <c r="D62" s="2">
        <v>1</v>
      </c>
      <c r="E62" s="2">
        <v>100</v>
      </c>
      <c r="F62" s="2">
        <v>0</v>
      </c>
      <c r="G62" s="2">
        <v>0</v>
      </c>
      <c r="H62" s="2" t="s">
        <v>73</v>
      </c>
    </row>
    <row r="63" spans="1:8">
      <c r="A63" s="2" t="s">
        <v>60</v>
      </c>
      <c r="B63" s="2" t="s">
        <v>61</v>
      </c>
      <c r="C63" s="2">
        <v>3</v>
      </c>
      <c r="D63" s="2">
        <v>2</v>
      </c>
      <c r="E63" s="2">
        <v>100</v>
      </c>
      <c r="F63" s="2">
        <v>6</v>
      </c>
      <c r="G63" s="2">
        <v>0</v>
      </c>
      <c r="H63" s="2" t="s">
        <v>73</v>
      </c>
    </row>
    <row r="64" spans="1:8">
      <c r="A64" s="2" t="s">
        <v>60</v>
      </c>
      <c r="B64" s="2" t="s">
        <v>61</v>
      </c>
      <c r="C64" s="2">
        <v>3</v>
      </c>
      <c r="D64" s="2">
        <v>3</v>
      </c>
      <c r="E64" s="2">
        <v>100</v>
      </c>
      <c r="F64" s="2">
        <v>6</v>
      </c>
      <c r="G64" s="2">
        <v>0</v>
      </c>
      <c r="H64" s="2" t="s">
        <v>73</v>
      </c>
    </row>
    <row r="65" spans="1:8">
      <c r="A65" s="2" t="s">
        <v>60</v>
      </c>
      <c r="B65" s="2" t="s">
        <v>61</v>
      </c>
      <c r="C65" s="2">
        <v>3</v>
      </c>
      <c r="D65" s="2">
        <v>4</v>
      </c>
      <c r="E65" s="2">
        <v>100</v>
      </c>
      <c r="F65" s="2">
        <v>6</v>
      </c>
      <c r="G65" s="2">
        <v>0</v>
      </c>
      <c r="H65" s="2" t="s">
        <v>73</v>
      </c>
    </row>
    <row r="66" spans="1:8">
      <c r="A66" s="2" t="s">
        <v>60</v>
      </c>
      <c r="B66" s="2" t="s">
        <v>61</v>
      </c>
      <c r="C66" s="2">
        <v>3</v>
      </c>
      <c r="D66" s="2">
        <v>5</v>
      </c>
      <c r="E66" s="2">
        <v>100</v>
      </c>
      <c r="F66" s="2">
        <v>6</v>
      </c>
      <c r="G66" s="2">
        <v>0</v>
      </c>
      <c r="H66" s="2" t="s">
        <v>73</v>
      </c>
    </row>
    <row r="67" spans="1:8">
      <c r="A67" s="2" t="s">
        <v>64</v>
      </c>
      <c r="B67" s="2" t="s">
        <v>61</v>
      </c>
      <c r="C67" s="2">
        <v>4</v>
      </c>
      <c r="D67" s="2">
        <v>1</v>
      </c>
      <c r="E67" s="2">
        <v>100</v>
      </c>
      <c r="F67" s="2">
        <v>0</v>
      </c>
      <c r="G67" s="2">
        <v>0</v>
      </c>
      <c r="H67" s="2" t="s">
        <v>73</v>
      </c>
    </row>
    <row r="68" spans="1:8">
      <c r="A68" s="2" t="s">
        <v>64</v>
      </c>
      <c r="B68" s="2" t="s">
        <v>61</v>
      </c>
      <c r="C68" s="2">
        <v>4</v>
      </c>
      <c r="D68" s="2">
        <v>2</v>
      </c>
      <c r="E68" s="2">
        <v>100</v>
      </c>
      <c r="F68" s="2">
        <v>6</v>
      </c>
      <c r="G68" s="2">
        <v>0</v>
      </c>
      <c r="H68" s="2" t="s">
        <v>73</v>
      </c>
    </row>
    <row r="69" spans="1:8">
      <c r="A69" s="2" t="s">
        <v>64</v>
      </c>
      <c r="B69" s="2" t="s">
        <v>61</v>
      </c>
      <c r="C69" s="2">
        <v>4</v>
      </c>
      <c r="D69" s="2">
        <v>3</v>
      </c>
      <c r="E69" s="2">
        <v>100</v>
      </c>
      <c r="F69" s="2">
        <v>6</v>
      </c>
      <c r="G69" s="2">
        <v>0</v>
      </c>
      <c r="H69" s="2" t="s">
        <v>73</v>
      </c>
    </row>
    <row r="70" spans="1:8">
      <c r="A70" s="2" t="s">
        <v>64</v>
      </c>
      <c r="B70" s="2" t="s">
        <v>61</v>
      </c>
      <c r="C70" s="2">
        <v>4</v>
      </c>
      <c r="D70" s="2">
        <v>4</v>
      </c>
      <c r="E70" s="2">
        <v>100</v>
      </c>
      <c r="F70" s="2">
        <v>6</v>
      </c>
      <c r="G70" s="2">
        <v>0</v>
      </c>
      <c r="H70" s="2" t="s">
        <v>73</v>
      </c>
    </row>
    <row r="71" spans="1:8">
      <c r="A71" s="2" t="s">
        <v>64</v>
      </c>
      <c r="B71" s="2" t="s">
        <v>61</v>
      </c>
      <c r="C71" s="2">
        <v>4</v>
      </c>
      <c r="D71" s="2">
        <v>5</v>
      </c>
      <c r="E71" s="2">
        <v>100</v>
      </c>
      <c r="F71" s="2">
        <v>6</v>
      </c>
      <c r="G71" s="2">
        <v>0</v>
      </c>
      <c r="H71" s="2" t="s">
        <v>73</v>
      </c>
    </row>
    <row r="72" spans="1:8">
      <c r="A72" s="2" t="s">
        <v>65</v>
      </c>
      <c r="B72" s="2" t="s">
        <v>61</v>
      </c>
      <c r="C72" s="2">
        <v>5</v>
      </c>
      <c r="D72" s="2">
        <v>1</v>
      </c>
      <c r="E72" s="2">
        <v>100</v>
      </c>
      <c r="F72" s="2">
        <v>0</v>
      </c>
      <c r="G72" s="2">
        <v>0</v>
      </c>
      <c r="H72" s="2" t="s">
        <v>73</v>
      </c>
    </row>
    <row r="73" spans="1:8">
      <c r="A73" s="2" t="s">
        <v>65</v>
      </c>
      <c r="B73" s="2" t="s">
        <v>61</v>
      </c>
      <c r="C73" s="2">
        <v>5</v>
      </c>
      <c r="D73" s="2">
        <v>2</v>
      </c>
      <c r="E73" s="2">
        <v>100</v>
      </c>
      <c r="F73" s="2">
        <v>6</v>
      </c>
      <c r="G73" s="2">
        <v>0</v>
      </c>
      <c r="H73" s="2" t="s">
        <v>73</v>
      </c>
    </row>
    <row r="74" spans="1:8">
      <c r="A74" s="2" t="s">
        <v>65</v>
      </c>
      <c r="B74" s="2" t="s">
        <v>61</v>
      </c>
      <c r="C74" s="2">
        <v>5</v>
      </c>
      <c r="D74" s="2">
        <v>3</v>
      </c>
      <c r="E74" s="2">
        <v>100</v>
      </c>
      <c r="F74" s="2">
        <v>6</v>
      </c>
      <c r="G74" s="2">
        <v>0</v>
      </c>
      <c r="H74" s="2" t="s">
        <v>73</v>
      </c>
    </row>
    <row r="75" spans="1:8">
      <c r="A75" s="2" t="s">
        <v>65</v>
      </c>
      <c r="B75" s="2" t="s">
        <v>61</v>
      </c>
      <c r="C75" s="2">
        <v>5</v>
      </c>
      <c r="D75" s="2">
        <v>4</v>
      </c>
      <c r="E75" s="2">
        <v>100</v>
      </c>
      <c r="F75" s="2">
        <v>6</v>
      </c>
      <c r="G75" s="2">
        <v>0</v>
      </c>
      <c r="H75" s="2" t="s">
        <v>73</v>
      </c>
    </row>
    <row r="76" spans="1:8">
      <c r="A76" s="2" t="s">
        <v>65</v>
      </c>
      <c r="B76" s="2" t="s">
        <v>61</v>
      </c>
      <c r="C76" s="2">
        <v>5</v>
      </c>
      <c r="D76" s="2">
        <v>5</v>
      </c>
      <c r="E76" s="2">
        <v>100</v>
      </c>
      <c r="F76" s="2">
        <v>6</v>
      </c>
      <c r="G76" s="2">
        <v>0</v>
      </c>
      <c r="H76" s="2" t="s">
        <v>73</v>
      </c>
    </row>
    <row r="77" spans="1:8">
      <c r="A77" s="2" t="s">
        <v>66</v>
      </c>
      <c r="B77" s="2" t="s">
        <v>61</v>
      </c>
      <c r="C77" s="2">
        <v>6</v>
      </c>
      <c r="D77" s="2">
        <v>1</v>
      </c>
      <c r="E77" s="2">
        <v>100</v>
      </c>
      <c r="F77" s="2">
        <v>0</v>
      </c>
      <c r="G77" s="2">
        <v>0</v>
      </c>
      <c r="H77" s="2" t="s">
        <v>73</v>
      </c>
    </row>
    <row r="78" spans="1:8">
      <c r="A78" s="2" t="s">
        <v>66</v>
      </c>
      <c r="B78" s="2" t="s">
        <v>61</v>
      </c>
      <c r="C78" s="2">
        <v>6</v>
      </c>
      <c r="D78" s="2">
        <v>2</v>
      </c>
      <c r="E78" s="2">
        <v>100</v>
      </c>
      <c r="F78" s="2">
        <v>6</v>
      </c>
      <c r="G78" s="2">
        <v>0</v>
      </c>
      <c r="H78" s="2" t="s">
        <v>73</v>
      </c>
    </row>
    <row r="79" spans="1:8">
      <c r="A79" s="2" t="s">
        <v>66</v>
      </c>
      <c r="B79" s="2" t="s">
        <v>61</v>
      </c>
      <c r="C79" s="2">
        <v>6</v>
      </c>
      <c r="D79" s="2">
        <v>3</v>
      </c>
      <c r="E79" s="2">
        <v>100</v>
      </c>
      <c r="F79" s="2">
        <v>6</v>
      </c>
      <c r="G79" s="2">
        <v>0</v>
      </c>
      <c r="H79" s="2" t="s">
        <v>73</v>
      </c>
    </row>
    <row r="80" spans="1:8">
      <c r="A80" s="2" t="s">
        <v>66</v>
      </c>
      <c r="B80" s="2" t="s">
        <v>61</v>
      </c>
      <c r="C80" s="2">
        <v>6</v>
      </c>
      <c r="D80" s="2">
        <v>4</v>
      </c>
      <c r="E80" s="2">
        <v>100</v>
      </c>
      <c r="F80" s="2">
        <v>6</v>
      </c>
      <c r="G80" s="2">
        <v>0</v>
      </c>
      <c r="H80" s="2" t="s">
        <v>73</v>
      </c>
    </row>
    <row r="81" spans="1:8">
      <c r="A81" s="2" t="s">
        <v>66</v>
      </c>
      <c r="B81" s="2" t="s">
        <v>61</v>
      </c>
      <c r="C81" s="2">
        <v>6</v>
      </c>
      <c r="D81" s="2">
        <v>5</v>
      </c>
      <c r="E81" s="2">
        <v>100</v>
      </c>
      <c r="F81" s="2">
        <v>6</v>
      </c>
      <c r="G81" s="2">
        <v>0</v>
      </c>
      <c r="H81" s="2" t="s">
        <v>73</v>
      </c>
    </row>
  </sheetData>
  <mergeCells count="4">
    <mergeCell ref="A1:J1"/>
    <mergeCell ref="A2:J2"/>
    <mergeCell ref="A4:H4"/>
    <mergeCell ref="A20:H20"/>
  </mergeCells>
  <dataValidations count="1">
    <dataValidation type="list" sqref="H6:H17" xr:uid="{00000000-0002-0000-0100-000000000000}">
      <formula1>"Editable,Locked,Deprecated"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2"/>
  <sheetViews>
    <sheetView tabSelected="1" topLeftCell="A63" zoomScaleNormal="100" zoomScaleSheetLayoutView="100" workbookViewId="0"/>
  </sheetViews>
  <sheetFormatPr defaultRowHeight="15"/>
  <cols>
    <col min="1" max="1" width="28" customWidth="1"/>
    <col min="2" max="2" width="14" customWidth="1"/>
    <col min="3" max="3" width="16" customWidth="1"/>
    <col min="4" max="5" width="14" customWidth="1"/>
    <col min="6" max="6" width="42" customWidth="1"/>
  </cols>
  <sheetData>
    <row r="1" spans="1:11" ht="27.95" customHeight="1">
      <c r="A1" s="5" t="s">
        <v>74</v>
      </c>
      <c r="B1" s="6"/>
      <c r="C1" s="6"/>
      <c r="D1" s="6"/>
      <c r="E1" s="6"/>
      <c r="F1" s="6"/>
      <c r="G1" s="6"/>
      <c r="H1" s="6"/>
      <c r="I1" s="2"/>
      <c r="J1" s="2"/>
      <c r="K1" s="2"/>
    </row>
    <row r="2" spans="1:11" ht="21.95" customHeight="1">
      <c r="A2" s="7" t="s">
        <v>75</v>
      </c>
      <c r="B2" s="8"/>
      <c r="C2" s="8"/>
      <c r="D2" s="8"/>
      <c r="E2" s="8"/>
      <c r="F2" s="8"/>
      <c r="G2" s="8"/>
      <c r="H2" s="8"/>
    </row>
    <row r="4" spans="1:11" ht="20.100000000000001" customHeight="1">
      <c r="A4" s="9" t="s">
        <v>76</v>
      </c>
      <c r="B4" s="8"/>
      <c r="C4" s="8"/>
    </row>
    <row r="5" spans="1:11">
      <c r="A5" s="1" t="s">
        <v>77</v>
      </c>
      <c r="B5" s="1" t="s">
        <v>78</v>
      </c>
      <c r="C5" s="1" t="s">
        <v>79</v>
      </c>
    </row>
    <row r="6" spans="1:11">
      <c r="A6" s="2" t="s">
        <v>80</v>
      </c>
      <c r="B6" s="2">
        <v>7200</v>
      </c>
      <c r="C6" s="3">
        <f>B6/SUM($B$6:$B$7)</f>
        <v>0.72</v>
      </c>
    </row>
    <row r="7" spans="1:11">
      <c r="A7" s="2" t="s">
        <v>81</v>
      </c>
      <c r="B7" s="2">
        <v>2800</v>
      </c>
      <c r="C7" s="3">
        <f>B7/SUM($B$6:$B$7)</f>
        <v>0.28000000000000003</v>
      </c>
    </row>
    <row r="10" spans="1:11" ht="20.100000000000001" customHeight="1">
      <c r="A10" s="9" t="s">
        <v>82</v>
      </c>
      <c r="B10" s="8"/>
      <c r="C10" s="8"/>
    </row>
    <row r="11" spans="1:11">
      <c r="A11" s="1" t="s">
        <v>83</v>
      </c>
      <c r="B11" s="1" t="s">
        <v>78</v>
      </c>
      <c r="C11" s="1" t="s">
        <v>79</v>
      </c>
    </row>
    <row r="12" spans="1:11">
      <c r="A12" s="2">
        <v>1</v>
      </c>
      <c r="B12" s="2">
        <v>4200</v>
      </c>
      <c r="C12" s="3">
        <f>B12/SUM($B$12:$B$17)</f>
        <v>0.42</v>
      </c>
    </row>
    <row r="13" spans="1:11">
      <c r="A13" s="2">
        <v>2</v>
      </c>
      <c r="B13" s="2">
        <v>2800</v>
      </c>
      <c r="C13" s="3">
        <f>B13/SUM($B$12:$B$17)</f>
        <v>0.28000000000000003</v>
      </c>
    </row>
    <row r="14" spans="1:11">
      <c r="A14" s="2">
        <v>3</v>
      </c>
      <c r="B14" s="2">
        <v>1700</v>
      </c>
      <c r="C14" s="3">
        <f>B14/SUM($B$12:$B$17)</f>
        <v>0.17</v>
      </c>
    </row>
    <row r="15" spans="1:11">
      <c r="A15" s="2">
        <v>4</v>
      </c>
      <c r="B15" s="2">
        <v>900</v>
      </c>
      <c r="C15" s="3">
        <f>B15/SUM($B$12:$B$17)</f>
        <v>0.09</v>
      </c>
    </row>
    <row r="16" spans="1:11">
      <c r="A16" s="2">
        <v>5</v>
      </c>
      <c r="B16" s="2">
        <v>350</v>
      </c>
      <c r="C16" s="3">
        <f>B16/SUM($B$12:$B$17)</f>
        <v>3.5000000000000003E-2</v>
      </c>
    </row>
    <row r="17" spans="1:6">
      <c r="A17" s="2">
        <v>6</v>
      </c>
      <c r="B17" s="2">
        <v>50</v>
      </c>
      <c r="C17" s="3">
        <f>B17/SUM($B$12:$B$17)</f>
        <v>5.0000000000000001E-3</v>
      </c>
    </row>
    <row r="20" spans="1:6" ht="20.100000000000001" customHeight="1">
      <c r="A20" s="9" t="s">
        <v>84</v>
      </c>
      <c r="B20" s="8"/>
      <c r="C20" s="8"/>
      <c r="D20" s="8"/>
      <c r="E20" s="8"/>
      <c r="F20" s="8"/>
    </row>
    <row r="21" spans="1:6">
      <c r="A21" s="1" t="s">
        <v>85</v>
      </c>
      <c r="B21" s="1" t="s">
        <v>86</v>
      </c>
      <c r="C21" s="1" t="s">
        <v>87</v>
      </c>
      <c r="D21" s="1" t="s">
        <v>88</v>
      </c>
      <c r="E21" s="1" t="s">
        <v>89</v>
      </c>
      <c r="F21" s="1" t="s">
        <v>5</v>
      </c>
    </row>
    <row r="22" spans="1:6">
      <c r="A22" s="2" t="s">
        <v>90</v>
      </c>
      <c r="B22" s="2">
        <v>7900</v>
      </c>
      <c r="C22" s="2">
        <v>7600</v>
      </c>
      <c r="D22" s="2">
        <v>7300</v>
      </c>
      <c r="E22" s="2">
        <v>7000</v>
      </c>
      <c r="F22" s="2" t="s">
        <v>91</v>
      </c>
    </row>
    <row r="23" spans="1:6">
      <c r="A23" s="2" t="s">
        <v>92</v>
      </c>
      <c r="B23" s="2">
        <v>1500</v>
      </c>
      <c r="C23" s="2">
        <v>1300</v>
      </c>
      <c r="D23" s="2">
        <v>900</v>
      </c>
      <c r="E23" s="2">
        <v>0</v>
      </c>
      <c r="F23" s="2" t="s">
        <v>93</v>
      </c>
    </row>
    <row r="24" spans="1:6">
      <c r="A24" s="2" t="s">
        <v>94</v>
      </c>
      <c r="B24" s="2">
        <v>250</v>
      </c>
      <c r="C24" s="2">
        <v>450</v>
      </c>
      <c r="D24" s="2">
        <v>650</v>
      </c>
      <c r="E24" s="2">
        <v>850</v>
      </c>
      <c r="F24" s="2" t="s">
        <v>95</v>
      </c>
    </row>
    <row r="25" spans="1:6">
      <c r="A25" s="2" t="s">
        <v>96</v>
      </c>
      <c r="B25" s="2">
        <v>250</v>
      </c>
      <c r="C25" s="2">
        <v>450</v>
      </c>
      <c r="D25" s="2">
        <v>650</v>
      </c>
      <c r="E25" s="2">
        <v>850</v>
      </c>
      <c r="F25" s="2" t="s">
        <v>97</v>
      </c>
    </row>
    <row r="26" spans="1:6">
      <c r="A26" s="2" t="s">
        <v>98</v>
      </c>
      <c r="B26" s="2">
        <v>100</v>
      </c>
      <c r="C26" s="2">
        <v>200</v>
      </c>
      <c r="D26" s="2">
        <v>500</v>
      </c>
      <c r="E26" s="2">
        <v>1300</v>
      </c>
      <c r="F26" s="2" t="s">
        <v>99</v>
      </c>
    </row>
    <row r="27" spans="1:6">
      <c r="A27" s="2" t="s">
        <v>100</v>
      </c>
      <c r="B27" s="2">
        <f>SUM(B22:B26)</f>
        <v>10000</v>
      </c>
      <c r="C27" s="2">
        <f>SUM(C22:C26)</f>
        <v>10000</v>
      </c>
      <c r="D27" s="2">
        <f>SUM(D22:D26)</f>
        <v>10000</v>
      </c>
      <c r="E27" s="2">
        <f>SUM(E22:E26)</f>
        <v>10000</v>
      </c>
      <c r="F27" s="2" t="s">
        <v>101</v>
      </c>
    </row>
    <row r="30" spans="1:6" ht="20.100000000000001" customHeight="1">
      <c r="A30" s="9" t="s">
        <v>102</v>
      </c>
      <c r="B30" s="8"/>
      <c r="C30" s="8"/>
    </row>
    <row r="31" spans="1:6">
      <c r="A31" s="1" t="s">
        <v>103</v>
      </c>
      <c r="B31" s="1" t="s">
        <v>78</v>
      </c>
      <c r="C31" s="1" t="s">
        <v>79</v>
      </c>
    </row>
    <row r="32" spans="1:6">
      <c r="A32" s="2" t="s">
        <v>104</v>
      </c>
      <c r="B32" s="2">
        <v>7800</v>
      </c>
      <c r="C32" s="3">
        <f>B32/SUM($B$32:$B$34)</f>
        <v>0.78</v>
      </c>
    </row>
    <row r="33" spans="1:3">
      <c r="A33" s="2" t="s">
        <v>105</v>
      </c>
      <c r="B33" s="2">
        <v>1900</v>
      </c>
      <c r="C33" s="3">
        <f>B33/SUM($B$32:$B$34)</f>
        <v>0.19</v>
      </c>
    </row>
    <row r="34" spans="1:3">
      <c r="A34" s="2" t="s">
        <v>106</v>
      </c>
      <c r="B34" s="2">
        <v>300</v>
      </c>
      <c r="C34" s="3">
        <f>B34/SUM($B$32:$B$34)</f>
        <v>0.03</v>
      </c>
    </row>
    <row r="37" spans="1:3" ht="20.100000000000001" customHeight="1">
      <c r="A37" s="9" t="s">
        <v>107</v>
      </c>
      <c r="B37" s="8"/>
      <c r="C37" s="8"/>
    </row>
    <row r="38" spans="1:3">
      <c r="A38" s="1" t="s">
        <v>108</v>
      </c>
      <c r="B38" s="1" t="s">
        <v>109</v>
      </c>
      <c r="C38" s="1" t="s">
        <v>110</v>
      </c>
    </row>
    <row r="39" spans="1:3">
      <c r="A39" s="2">
        <v>1</v>
      </c>
      <c r="B39" s="2">
        <v>5</v>
      </c>
      <c r="C39" s="3">
        <v>5.0000000000000001E-4</v>
      </c>
    </row>
    <row r="40" spans="1:3">
      <c r="A40" s="2">
        <v>2</v>
      </c>
      <c r="B40" s="2">
        <v>4</v>
      </c>
      <c r="C40" s="3">
        <v>1.5E-3</v>
      </c>
    </row>
    <row r="41" spans="1:3">
      <c r="A41" s="2">
        <v>3</v>
      </c>
      <c r="B41" s="2">
        <v>3</v>
      </c>
      <c r="C41" s="3">
        <v>7.4999999999999997E-3</v>
      </c>
    </row>
    <row r="42" spans="1:3">
      <c r="A42" s="2">
        <v>4</v>
      </c>
      <c r="B42" s="2">
        <v>2</v>
      </c>
      <c r="C42" s="3">
        <v>0.03</v>
      </c>
    </row>
    <row r="43" spans="1:3">
      <c r="A43" s="2">
        <v>5</v>
      </c>
      <c r="B43" s="2">
        <v>1</v>
      </c>
      <c r="C43" s="3">
        <v>0.18</v>
      </c>
    </row>
    <row r="45" spans="1:3" ht="20.100000000000001" customHeight="1">
      <c r="A45" s="9" t="s">
        <v>111</v>
      </c>
      <c r="B45" s="8"/>
      <c r="C45" s="8"/>
    </row>
    <row r="46" spans="1:3">
      <c r="A46" s="1" t="s">
        <v>112</v>
      </c>
      <c r="B46" s="1" t="s">
        <v>78</v>
      </c>
      <c r="C46" s="1" t="s">
        <v>79</v>
      </c>
    </row>
    <row r="47" spans="1:3">
      <c r="A47" s="2" t="s">
        <v>90</v>
      </c>
      <c r="B47" s="2">
        <v>8500</v>
      </c>
      <c r="C47" s="3">
        <f>B47/SUM($B$47:$B$51)</f>
        <v>0.85</v>
      </c>
    </row>
    <row r="48" spans="1:3">
      <c r="A48" s="2" t="s">
        <v>92</v>
      </c>
      <c r="B48" s="2">
        <v>700</v>
      </c>
      <c r="C48" s="3">
        <f>B48/SUM($B$47:$B$51)</f>
        <v>7.0000000000000007E-2</v>
      </c>
    </row>
    <row r="49" spans="1:5">
      <c r="A49" s="2" t="s">
        <v>94</v>
      </c>
      <c r="B49" s="2">
        <v>300</v>
      </c>
      <c r="C49" s="3">
        <f>B49/SUM($B$47:$B$51)</f>
        <v>0.03</v>
      </c>
    </row>
    <row r="50" spans="1:5">
      <c r="A50" s="2" t="s">
        <v>96</v>
      </c>
      <c r="B50" s="2">
        <v>300</v>
      </c>
      <c r="C50" s="3">
        <f>B50/SUM($B$47:$B$51)</f>
        <v>0.03</v>
      </c>
    </row>
    <row r="51" spans="1:5">
      <c r="A51" s="2" t="s">
        <v>98</v>
      </c>
      <c r="B51" s="2">
        <v>200</v>
      </c>
      <c r="C51" s="3">
        <f>B51/SUM($B$47:$B$51)</f>
        <v>0.02</v>
      </c>
    </row>
    <row r="54" spans="1:5" ht="20.100000000000001" customHeight="1">
      <c r="A54" s="9" t="s">
        <v>113</v>
      </c>
      <c r="B54" s="8"/>
      <c r="C54" s="8"/>
    </row>
    <row r="55" spans="1:5">
      <c r="A55" s="1" t="s">
        <v>69</v>
      </c>
      <c r="B55" s="1" t="s">
        <v>78</v>
      </c>
      <c r="C55" s="1" t="s">
        <v>79</v>
      </c>
    </row>
    <row r="56" spans="1:5">
      <c r="A56" s="2">
        <v>1</v>
      </c>
      <c r="B56" s="2">
        <v>2200</v>
      </c>
      <c r="C56" s="3">
        <f>B56/SUM($B$56:$B$60)</f>
        <v>0.22</v>
      </c>
    </row>
    <row r="57" spans="1:5">
      <c r="A57" s="2">
        <v>2</v>
      </c>
      <c r="B57" s="2">
        <v>1600</v>
      </c>
      <c r="C57" s="3">
        <f>B57/SUM($B$56:$B$60)</f>
        <v>0.16</v>
      </c>
    </row>
    <row r="58" spans="1:5">
      <c r="A58" s="2">
        <v>3</v>
      </c>
      <c r="B58" s="2">
        <v>2600</v>
      </c>
      <c r="C58" s="3">
        <f>B58/SUM($B$56:$B$60)</f>
        <v>0.26</v>
      </c>
    </row>
    <row r="59" spans="1:5">
      <c r="A59" s="2">
        <v>4</v>
      </c>
      <c r="B59" s="2">
        <v>1600</v>
      </c>
      <c r="C59" s="3">
        <f>B59/SUM($B$56:$B$60)</f>
        <v>0.16</v>
      </c>
    </row>
    <row r="60" spans="1:5">
      <c r="A60" s="2">
        <v>5</v>
      </c>
      <c r="B60" s="2">
        <v>2000</v>
      </c>
      <c r="C60" s="3">
        <f>B60/SUM($B$56:$B$60)</f>
        <v>0.2</v>
      </c>
    </row>
    <row r="63" spans="1:5" ht="20.100000000000001" customHeight="1">
      <c r="A63" s="9" t="s">
        <v>114</v>
      </c>
      <c r="B63" s="8"/>
      <c r="C63" s="8"/>
      <c r="D63" s="8"/>
      <c r="E63" s="8"/>
    </row>
    <row r="64" spans="1:5">
      <c r="A64" s="1" t="s">
        <v>115</v>
      </c>
      <c r="B64" s="1" t="s">
        <v>116</v>
      </c>
      <c r="C64" s="1" t="s">
        <v>117</v>
      </c>
      <c r="D64" s="1" t="s">
        <v>118</v>
      </c>
      <c r="E64" s="1" t="s">
        <v>119</v>
      </c>
    </row>
    <row r="65" spans="1:5">
      <c r="A65" s="2">
        <v>1</v>
      </c>
      <c r="B65" s="2">
        <v>3000</v>
      </c>
      <c r="C65" s="2">
        <v>2400</v>
      </c>
      <c r="D65" s="2">
        <v>1700</v>
      </c>
      <c r="E65" s="2">
        <v>1300</v>
      </c>
    </row>
    <row r="66" spans="1:5">
      <c r="A66" s="2">
        <v>2</v>
      </c>
      <c r="B66" s="2">
        <v>4000</v>
      </c>
      <c r="C66" s="2">
        <v>2800</v>
      </c>
      <c r="D66" s="2">
        <v>2100</v>
      </c>
      <c r="E66" s="2">
        <v>1500</v>
      </c>
    </row>
    <row r="67" spans="1:5">
      <c r="A67" s="2">
        <v>3</v>
      </c>
      <c r="B67" s="2">
        <v>3000</v>
      </c>
      <c r="C67" s="2">
        <v>2400</v>
      </c>
      <c r="D67" s="2">
        <v>2200</v>
      </c>
      <c r="E67" s="2">
        <v>1700</v>
      </c>
    </row>
    <row r="68" spans="1:5">
      <c r="A68" s="2">
        <v>4</v>
      </c>
      <c r="B68" s="2">
        <v>0</v>
      </c>
      <c r="C68" s="2">
        <v>2400</v>
      </c>
      <c r="D68" s="2">
        <v>2000</v>
      </c>
      <c r="E68" s="2">
        <v>1800</v>
      </c>
    </row>
    <row r="69" spans="1:5">
      <c r="A69" s="2">
        <v>5</v>
      </c>
      <c r="B69" s="2">
        <v>0</v>
      </c>
      <c r="C69" s="2">
        <v>0</v>
      </c>
      <c r="D69" s="2">
        <v>2000</v>
      </c>
      <c r="E69" s="2">
        <v>1900</v>
      </c>
    </row>
    <row r="70" spans="1:5">
      <c r="A70" s="2">
        <v>6</v>
      </c>
      <c r="B70" s="2">
        <v>0</v>
      </c>
      <c r="C70" s="2">
        <v>0</v>
      </c>
      <c r="D70" s="2">
        <v>0</v>
      </c>
      <c r="E70" s="2">
        <v>1800</v>
      </c>
    </row>
    <row r="71" spans="1:5">
      <c r="A71" s="2" t="s">
        <v>100</v>
      </c>
      <c r="B71" s="2">
        <f>SUM(B65:B70)</f>
        <v>10000</v>
      </c>
      <c r="C71" s="2">
        <f>SUM(C65:C70)</f>
        <v>10000</v>
      </c>
      <c r="D71" s="2">
        <f>SUM(D65:D70)</f>
        <v>10000</v>
      </c>
      <c r="E71" s="2">
        <f>SUM(E65:E70)</f>
        <v>10000</v>
      </c>
    </row>
    <row r="74" spans="1:5" ht="20.100000000000001" customHeight="1">
      <c r="A74" s="9" t="s">
        <v>120</v>
      </c>
      <c r="B74" s="8"/>
      <c r="C74" s="8"/>
    </row>
    <row r="75" spans="1:5">
      <c r="A75" s="1" t="s">
        <v>77</v>
      </c>
      <c r="B75" s="1" t="s">
        <v>78</v>
      </c>
      <c r="C75" s="1" t="s">
        <v>79</v>
      </c>
    </row>
    <row r="76" spans="1:5">
      <c r="A76" s="2" t="s">
        <v>121</v>
      </c>
      <c r="B76" s="2">
        <v>8800</v>
      </c>
      <c r="C76" s="3">
        <f>B76/SUM($B$76:$B$77)</f>
        <v>0.88</v>
      </c>
    </row>
    <row r="77" spans="1:5">
      <c r="A77" s="2" t="s">
        <v>122</v>
      </c>
      <c r="B77" s="2">
        <v>1200</v>
      </c>
      <c r="C77" s="3">
        <f>B77/SUM($B$76:$B$77)</f>
        <v>0.12</v>
      </c>
    </row>
    <row r="80" spans="1:5" ht="20.100000000000001" customHeight="1">
      <c r="A80" s="9" t="s">
        <v>123</v>
      </c>
      <c r="B80" s="8"/>
      <c r="C80" s="8"/>
    </row>
    <row r="81" spans="1:3">
      <c r="A81" s="1" t="s">
        <v>124</v>
      </c>
      <c r="B81" s="1" t="s">
        <v>78</v>
      </c>
      <c r="C81" s="1" t="s">
        <v>79</v>
      </c>
    </row>
    <row r="82" spans="1:3">
      <c r="A82" s="2">
        <v>1</v>
      </c>
      <c r="B82" s="2">
        <v>6000</v>
      </c>
      <c r="C82" s="3">
        <f>B82/SUM($B$82:$B$85)</f>
        <v>0.6</v>
      </c>
    </row>
    <row r="83" spans="1:3">
      <c r="A83" s="2">
        <v>2</v>
      </c>
      <c r="B83" s="2">
        <v>3000</v>
      </c>
      <c r="C83" s="3">
        <f>B83/SUM($B$82:$B$85)</f>
        <v>0.3</v>
      </c>
    </row>
    <row r="84" spans="1:3">
      <c r="A84" s="2">
        <v>3</v>
      </c>
      <c r="B84" s="2">
        <v>900</v>
      </c>
      <c r="C84" s="3">
        <f>B84/SUM($B$82:$B$85)</f>
        <v>0.09</v>
      </c>
    </row>
    <row r="85" spans="1:3">
      <c r="A85" s="2">
        <v>4</v>
      </c>
      <c r="B85" s="2">
        <v>100</v>
      </c>
      <c r="C85" s="3">
        <f>B85/SUM($B$82:$B$85)</f>
        <v>0.01</v>
      </c>
    </row>
    <row r="88" spans="1:3" ht="20.100000000000001" customHeight="1">
      <c r="A88" s="9" t="s">
        <v>125</v>
      </c>
      <c r="B88" s="8"/>
      <c r="C88" s="8"/>
    </row>
    <row r="89" spans="1:3">
      <c r="A89" s="1" t="s">
        <v>126</v>
      </c>
      <c r="B89" s="1" t="s">
        <v>78</v>
      </c>
      <c r="C89" s="1" t="s">
        <v>79</v>
      </c>
    </row>
    <row r="90" spans="1:3">
      <c r="A90" s="2" t="s">
        <v>127</v>
      </c>
      <c r="B90" s="2">
        <v>2500</v>
      </c>
      <c r="C90" s="3">
        <f>B90/SUM($B$90:$B$94)</f>
        <v>0.25</v>
      </c>
    </row>
    <row r="91" spans="1:3">
      <c r="A91" s="2" t="s">
        <v>128</v>
      </c>
      <c r="B91" s="2">
        <v>2500</v>
      </c>
      <c r="C91" s="3">
        <f>B91/SUM($B$90:$B$94)</f>
        <v>0.25</v>
      </c>
    </row>
    <row r="92" spans="1:3">
      <c r="A92" s="2" t="s">
        <v>129</v>
      </c>
      <c r="B92" s="2">
        <v>2000</v>
      </c>
      <c r="C92" s="3">
        <f>B92/SUM($B$90:$B$94)</f>
        <v>0.2</v>
      </c>
    </row>
    <row r="93" spans="1:3">
      <c r="A93" s="2" t="s">
        <v>130</v>
      </c>
      <c r="B93" s="2">
        <v>1800</v>
      </c>
      <c r="C93" s="3">
        <f>B93/SUM($B$90:$B$94)</f>
        <v>0.18</v>
      </c>
    </row>
    <row r="94" spans="1:3">
      <c r="A94" s="2" t="s">
        <v>131</v>
      </c>
      <c r="B94" s="2">
        <v>1200</v>
      </c>
      <c r="C94" s="3">
        <f>B94/SUM($B$90:$B$94)</f>
        <v>0.12</v>
      </c>
    </row>
    <row r="97" spans="1:3" ht="20.100000000000001" customHeight="1">
      <c r="A97" s="9" t="s">
        <v>132</v>
      </c>
      <c r="B97" s="8"/>
      <c r="C97" s="8"/>
    </row>
    <row r="98" spans="1:3">
      <c r="A98" s="1" t="s">
        <v>133</v>
      </c>
      <c r="B98" s="1" t="s">
        <v>78</v>
      </c>
      <c r="C98" s="1" t="s">
        <v>79</v>
      </c>
    </row>
    <row r="99" spans="1:3">
      <c r="A99" s="2">
        <v>2</v>
      </c>
      <c r="B99" s="2">
        <v>5000</v>
      </c>
      <c r="C99" s="3">
        <f>B99/SUM($B$99:$B$102)</f>
        <v>0.5</v>
      </c>
    </row>
    <row r="100" spans="1:3">
      <c r="A100" s="2">
        <v>3</v>
      </c>
      <c r="B100" s="2">
        <v>3000</v>
      </c>
      <c r="C100" s="3">
        <f>B100/SUM($B$99:$B$102)</f>
        <v>0.3</v>
      </c>
    </row>
    <row r="101" spans="1:3">
      <c r="A101" s="2">
        <v>4</v>
      </c>
      <c r="B101" s="2">
        <v>1500</v>
      </c>
      <c r="C101" s="3">
        <f>B101/SUM($B$99:$B$102)</f>
        <v>0.15</v>
      </c>
    </row>
    <row r="102" spans="1:3">
      <c r="A102" s="2" t="s">
        <v>134</v>
      </c>
      <c r="B102" s="2">
        <v>500</v>
      </c>
      <c r="C102" s="3">
        <f>B102/SUM($B$99:$B$102)</f>
        <v>0.05</v>
      </c>
    </row>
  </sheetData>
  <mergeCells count="14">
    <mergeCell ref="A74:C74"/>
    <mergeCell ref="A80:C80"/>
    <mergeCell ref="A88:C88"/>
    <mergeCell ref="A97:C97"/>
    <mergeCell ref="A30:C30"/>
    <mergeCell ref="A37:C37"/>
    <mergeCell ref="A45:C45"/>
    <mergeCell ref="A54:C54"/>
    <mergeCell ref="A63:E63"/>
    <mergeCell ref="A1:H1"/>
    <mergeCell ref="A2:H2"/>
    <mergeCell ref="A4:C4"/>
    <mergeCell ref="A10:C10"/>
    <mergeCell ref="A20:F20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zoomScaleNormal="100" zoomScaleSheetLayoutView="100" workbookViewId="0"/>
  </sheetViews>
  <sheetFormatPr defaultRowHeight="15"/>
  <cols>
    <col min="1" max="1" width="28" customWidth="1"/>
    <col min="2" max="2" width="14" customWidth="1"/>
    <col min="3" max="3" width="16" customWidth="1"/>
    <col min="4" max="4" width="50" customWidth="1"/>
  </cols>
  <sheetData>
    <row r="1" spans="1:11" ht="27.95" customHeight="1">
      <c r="A1" s="5" t="s">
        <v>135</v>
      </c>
      <c r="B1" s="6"/>
      <c r="C1" s="6"/>
      <c r="D1" s="6"/>
      <c r="E1" s="6"/>
      <c r="F1" s="6"/>
      <c r="G1" s="6"/>
      <c r="H1" s="6"/>
      <c r="I1" s="2"/>
      <c r="J1" s="2"/>
      <c r="K1" s="2"/>
    </row>
    <row r="2" spans="1:11" ht="21.95" customHeight="1">
      <c r="A2" s="7" t="s">
        <v>136</v>
      </c>
      <c r="B2" s="8"/>
      <c r="C2" s="8"/>
      <c r="D2" s="8"/>
      <c r="E2" s="8"/>
      <c r="F2" s="8"/>
      <c r="G2" s="8"/>
      <c r="H2" s="8"/>
    </row>
    <row r="4" spans="1:11" ht="20.100000000000001" customHeight="1">
      <c r="A4" s="9" t="s">
        <v>137</v>
      </c>
      <c r="B4" s="8"/>
      <c r="C4" s="8"/>
    </row>
    <row r="5" spans="1:11">
      <c r="A5" s="1" t="s">
        <v>138</v>
      </c>
      <c r="B5" s="1" t="s">
        <v>139</v>
      </c>
      <c r="C5" s="1" t="s">
        <v>5</v>
      </c>
    </row>
    <row r="6" spans="1:11">
      <c r="A6" s="2" t="s">
        <v>140</v>
      </c>
      <c r="B6" s="2">
        <v>6</v>
      </c>
      <c r="C6" s="2" t="s">
        <v>141</v>
      </c>
    </row>
    <row r="7" spans="1:11">
      <c r="A7" s="2" t="s">
        <v>142</v>
      </c>
      <c r="B7" s="2" t="s">
        <v>143</v>
      </c>
      <c r="C7" s="2" t="s">
        <v>144</v>
      </c>
    </row>
    <row r="8" spans="1:11">
      <c r="A8" s="2" t="s">
        <v>145</v>
      </c>
      <c r="B8" s="2" t="s">
        <v>146</v>
      </c>
      <c r="C8" s="2" t="s">
        <v>147</v>
      </c>
    </row>
    <row r="9" spans="1:11">
      <c r="A9" s="2" t="s">
        <v>148</v>
      </c>
      <c r="B9" s="2" t="s">
        <v>149</v>
      </c>
      <c r="C9" s="2" t="s">
        <v>150</v>
      </c>
    </row>
    <row r="12" spans="1:11" ht="20.100000000000001" customHeight="1">
      <c r="A12" s="9" t="s">
        <v>151</v>
      </c>
      <c r="B12" s="8"/>
      <c r="C12" s="8"/>
    </row>
    <row r="13" spans="1:11">
      <c r="A13" s="1" t="s">
        <v>77</v>
      </c>
      <c r="B13" s="1" t="s">
        <v>78</v>
      </c>
      <c r="C13" s="1" t="s">
        <v>79</v>
      </c>
    </row>
    <row r="14" spans="1:11">
      <c r="A14" s="2" t="s">
        <v>152</v>
      </c>
      <c r="B14" s="2">
        <v>4500</v>
      </c>
      <c r="C14" s="3">
        <f>B14/SUM($B$14:$B$15)</f>
        <v>0.45</v>
      </c>
    </row>
    <row r="15" spans="1:11">
      <c r="A15" s="2" t="s">
        <v>81</v>
      </c>
      <c r="B15" s="2">
        <v>5500</v>
      </c>
      <c r="C15" s="3">
        <f>B15/SUM($B$14:$B$15)</f>
        <v>0.55000000000000004</v>
      </c>
    </row>
    <row r="18" spans="1:4" ht="20.100000000000001" customHeight="1">
      <c r="A18" s="9" t="s">
        <v>153</v>
      </c>
      <c r="B18" s="8"/>
      <c r="C18" s="8"/>
    </row>
    <row r="19" spans="1:4">
      <c r="A19" s="1" t="s">
        <v>83</v>
      </c>
      <c r="B19" s="1" t="s">
        <v>78</v>
      </c>
      <c r="C19" s="1" t="s">
        <v>79</v>
      </c>
    </row>
    <row r="20" spans="1:4">
      <c r="A20" s="2">
        <v>1</v>
      </c>
      <c r="B20" s="2">
        <v>4000</v>
      </c>
      <c r="C20" s="3">
        <f>B20/SUM($B$20:$B$25)</f>
        <v>0.4</v>
      </c>
    </row>
    <row r="21" spans="1:4">
      <c r="A21" s="2">
        <v>2</v>
      </c>
      <c r="B21" s="2">
        <v>3000</v>
      </c>
      <c r="C21" s="3">
        <f>B21/SUM($B$20:$B$25)</f>
        <v>0.3</v>
      </c>
    </row>
    <row r="22" spans="1:4">
      <c r="A22" s="2">
        <v>3</v>
      </c>
      <c r="B22" s="2">
        <v>1700</v>
      </c>
      <c r="C22" s="3">
        <f>B22/SUM($B$20:$B$25)</f>
        <v>0.17</v>
      </c>
    </row>
    <row r="23" spans="1:4">
      <c r="A23" s="2">
        <v>4</v>
      </c>
      <c r="B23" s="2">
        <v>900</v>
      </c>
      <c r="C23" s="3">
        <f>B23/SUM($B$20:$B$25)</f>
        <v>0.09</v>
      </c>
    </row>
    <row r="24" spans="1:4">
      <c r="A24" s="2">
        <v>5</v>
      </c>
      <c r="B24" s="2">
        <v>300</v>
      </c>
      <c r="C24" s="3">
        <f>B24/SUM($B$20:$B$25)</f>
        <v>0.03</v>
      </c>
    </row>
    <row r="25" spans="1:4">
      <c r="A25" s="2">
        <v>6</v>
      </c>
      <c r="B25" s="2">
        <v>100</v>
      </c>
      <c r="C25" s="3">
        <f>B25/SUM($B$20:$B$25)</f>
        <v>0.01</v>
      </c>
    </row>
    <row r="28" spans="1:4" ht="20.100000000000001" customHeight="1">
      <c r="A28" s="9" t="s">
        <v>154</v>
      </c>
      <c r="B28" s="8"/>
      <c r="C28" s="8"/>
      <c r="D28" s="8"/>
    </row>
    <row r="29" spans="1:4">
      <c r="A29" s="1" t="s">
        <v>155</v>
      </c>
      <c r="B29" s="1" t="s">
        <v>78</v>
      </c>
      <c r="C29" s="1" t="s">
        <v>79</v>
      </c>
      <c r="D29" s="1" t="s">
        <v>5</v>
      </c>
    </row>
    <row r="30" spans="1:4">
      <c r="A30" s="2" t="s">
        <v>90</v>
      </c>
      <c r="B30" s="2">
        <v>6800</v>
      </c>
      <c r="C30" s="3">
        <f>B30/SUM($B$30:$B$33)</f>
        <v>0.68</v>
      </c>
      <c r="D30" s="2" t="s">
        <v>156</v>
      </c>
    </row>
    <row r="31" spans="1:4">
      <c r="A31" s="2" t="s">
        <v>92</v>
      </c>
      <c r="B31" s="2">
        <v>1000</v>
      </c>
      <c r="C31" s="3">
        <f>B31/SUM($B$30:$B$33)</f>
        <v>0.1</v>
      </c>
      <c r="D31" s="2" t="s">
        <v>157</v>
      </c>
    </row>
    <row r="32" spans="1:4">
      <c r="A32" s="2" t="s">
        <v>94</v>
      </c>
      <c r="B32" s="2">
        <v>1100</v>
      </c>
      <c r="C32" s="3">
        <f>B32/SUM($B$30:$B$33)</f>
        <v>0.11</v>
      </c>
      <c r="D32" s="2" t="s">
        <v>95</v>
      </c>
    </row>
    <row r="33" spans="1:4">
      <c r="A33" s="2" t="s">
        <v>96</v>
      </c>
      <c r="B33" s="2">
        <v>1100</v>
      </c>
      <c r="C33" s="3">
        <f>B33/SUM($B$30:$B$33)</f>
        <v>0.11</v>
      </c>
      <c r="D33" s="2" t="s">
        <v>158</v>
      </c>
    </row>
    <row r="36" spans="1:4" ht="20.100000000000001" customHeight="1">
      <c r="A36" s="9" t="s">
        <v>159</v>
      </c>
      <c r="B36" s="8"/>
      <c r="C36" s="8"/>
    </row>
    <row r="37" spans="1:4">
      <c r="A37" s="1" t="s">
        <v>160</v>
      </c>
      <c r="B37" s="1" t="s">
        <v>161</v>
      </c>
      <c r="C37" s="1" t="s">
        <v>5</v>
      </c>
    </row>
    <row r="38" spans="1:4">
      <c r="A38" s="2" t="s">
        <v>162</v>
      </c>
      <c r="B38" s="2" t="s">
        <v>163</v>
      </c>
      <c r="C38" s="2" t="s">
        <v>164</v>
      </c>
    </row>
    <row r="39" spans="1:4">
      <c r="A39" s="2" t="s">
        <v>163</v>
      </c>
      <c r="B39" s="2" t="s">
        <v>165</v>
      </c>
      <c r="C39" s="2" t="s">
        <v>166</v>
      </c>
    </row>
    <row r="40" spans="1:4">
      <c r="A40" s="2" t="s">
        <v>165</v>
      </c>
      <c r="B40" s="2" t="s">
        <v>167</v>
      </c>
      <c r="C40" s="2" t="s">
        <v>168</v>
      </c>
    </row>
    <row r="41" spans="1:4">
      <c r="A41" s="2" t="s">
        <v>167</v>
      </c>
      <c r="B41" s="2" t="s">
        <v>169</v>
      </c>
      <c r="C41" s="2" t="s">
        <v>170</v>
      </c>
    </row>
    <row r="44" spans="1:4" ht="20.100000000000001" customHeight="1">
      <c r="A44" s="9" t="s">
        <v>171</v>
      </c>
      <c r="B44" s="8"/>
    </row>
    <row r="45" spans="1:4">
      <c r="A45" s="1" t="s">
        <v>172</v>
      </c>
      <c r="B45" s="1" t="s">
        <v>23</v>
      </c>
    </row>
    <row r="46" spans="1:4">
      <c r="A46" s="2">
        <v>1</v>
      </c>
      <c r="B46" s="2" t="s">
        <v>173</v>
      </c>
    </row>
    <row r="47" spans="1:4">
      <c r="A47" s="2">
        <v>2</v>
      </c>
      <c r="B47" s="2" t="s">
        <v>174</v>
      </c>
    </row>
    <row r="48" spans="1:4">
      <c r="A48" s="2">
        <v>3</v>
      </c>
      <c r="B48" s="2" t="s">
        <v>175</v>
      </c>
    </row>
    <row r="49" spans="1:3">
      <c r="A49" s="2">
        <v>4</v>
      </c>
      <c r="B49" s="2" t="s">
        <v>176</v>
      </c>
    </row>
    <row r="52" spans="1:3" ht="20.100000000000001" customHeight="1">
      <c r="A52" s="9" t="s">
        <v>177</v>
      </c>
      <c r="B52" s="8"/>
      <c r="C52" s="8"/>
    </row>
    <row r="53" spans="1:3">
      <c r="A53" s="1" t="s">
        <v>178</v>
      </c>
      <c r="B53" s="1" t="s">
        <v>78</v>
      </c>
      <c r="C53" s="1" t="s">
        <v>79</v>
      </c>
    </row>
    <row r="54" spans="1:3">
      <c r="A54" s="2">
        <v>5</v>
      </c>
      <c r="B54" s="2">
        <v>4500</v>
      </c>
      <c r="C54" s="3">
        <f>B54/SUM($B$54:$B$59)</f>
        <v>0.45</v>
      </c>
    </row>
    <row r="55" spans="1:3">
      <c r="A55" s="2">
        <v>10</v>
      </c>
      <c r="B55" s="2">
        <v>3000</v>
      </c>
      <c r="C55" s="3">
        <f>B55/SUM($B$54:$B$59)</f>
        <v>0.3</v>
      </c>
    </row>
    <row r="56" spans="1:3">
      <c r="A56" s="2">
        <v>15</v>
      </c>
      <c r="B56" s="2">
        <v>1600</v>
      </c>
      <c r="C56" s="3">
        <f>B56/SUM($B$54:$B$59)</f>
        <v>0.16</v>
      </c>
    </row>
    <row r="57" spans="1:3">
      <c r="A57" s="2">
        <v>25</v>
      </c>
      <c r="B57" s="2">
        <v>700</v>
      </c>
      <c r="C57" s="3">
        <f>B57/SUM($B$54:$B$59)</f>
        <v>7.0000000000000007E-2</v>
      </c>
    </row>
    <row r="58" spans="1:3">
      <c r="A58" s="2">
        <v>50</v>
      </c>
      <c r="B58" s="2">
        <v>180</v>
      </c>
      <c r="C58" s="3">
        <f>B58/SUM($B$54:$B$59)</f>
        <v>1.7999999999999999E-2</v>
      </c>
    </row>
    <row r="59" spans="1:3">
      <c r="A59" s="2">
        <v>100</v>
      </c>
      <c r="B59" s="2">
        <v>20</v>
      </c>
      <c r="C59" s="3">
        <f>B59/SUM($B$54:$B$59)</f>
        <v>2E-3</v>
      </c>
    </row>
  </sheetData>
  <mergeCells count="9">
    <mergeCell ref="A28:D28"/>
    <mergeCell ref="A36:C36"/>
    <mergeCell ref="A44:B44"/>
    <mergeCell ref="A52:C52"/>
    <mergeCell ref="A1:H1"/>
    <mergeCell ref="A2:H2"/>
    <mergeCell ref="A4:C4"/>
    <mergeCell ref="A12:C12"/>
    <mergeCell ref="A18:C18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zoomScaleNormal="100" zoomScaleSheetLayoutView="100" workbookViewId="0"/>
  </sheetViews>
  <sheetFormatPr defaultRowHeight="15"/>
  <cols>
    <col min="1" max="1" width="24" customWidth="1"/>
    <col min="2" max="2" width="46" customWidth="1"/>
    <col min="3" max="3" width="40" customWidth="1"/>
    <col min="4" max="4" width="50" customWidth="1"/>
  </cols>
  <sheetData>
    <row r="1" spans="1:11" ht="27.95" customHeight="1">
      <c r="A1" s="5" t="s">
        <v>179</v>
      </c>
      <c r="B1" s="6"/>
      <c r="C1" s="6"/>
      <c r="D1" s="6"/>
      <c r="E1" s="6"/>
      <c r="F1" s="6"/>
      <c r="G1" s="6"/>
      <c r="H1" s="6"/>
      <c r="I1" s="2"/>
      <c r="J1" s="2"/>
      <c r="K1" s="2"/>
    </row>
    <row r="2" spans="1:11" ht="21.95" customHeight="1">
      <c r="A2" s="7" t="s">
        <v>180</v>
      </c>
      <c r="B2" s="8"/>
      <c r="C2" s="8"/>
      <c r="D2" s="8"/>
      <c r="E2" s="8"/>
      <c r="F2" s="8"/>
      <c r="G2" s="8"/>
      <c r="H2" s="8"/>
    </row>
    <row r="4" spans="1:11" ht="20.100000000000001" customHeight="1">
      <c r="A4" s="9" t="s">
        <v>181</v>
      </c>
      <c r="B4" s="8"/>
      <c r="C4" s="8"/>
    </row>
    <row r="5" spans="1:11">
      <c r="A5" s="1" t="s">
        <v>138</v>
      </c>
      <c r="B5" s="1" t="s">
        <v>139</v>
      </c>
      <c r="C5" s="1" t="s">
        <v>5</v>
      </c>
    </row>
    <row r="6" spans="1:11">
      <c r="A6" s="2" t="s">
        <v>140</v>
      </c>
      <c r="B6" s="2">
        <v>6</v>
      </c>
      <c r="C6" s="2" t="s">
        <v>182</v>
      </c>
    </row>
    <row r="7" spans="1:11">
      <c r="A7" s="2" t="s">
        <v>142</v>
      </c>
      <c r="B7" s="2" t="s">
        <v>143</v>
      </c>
      <c r="C7" s="2" t="s">
        <v>183</v>
      </c>
    </row>
    <row r="8" spans="1:11">
      <c r="A8" s="2" t="s">
        <v>145</v>
      </c>
      <c r="B8" s="2" t="s">
        <v>184</v>
      </c>
      <c r="C8" s="2" t="s">
        <v>185</v>
      </c>
    </row>
    <row r="9" spans="1:11">
      <c r="A9" s="2" t="s">
        <v>148</v>
      </c>
      <c r="B9" s="2" t="s">
        <v>149</v>
      </c>
      <c r="C9" s="2" t="s">
        <v>186</v>
      </c>
    </row>
    <row r="12" spans="1:11" ht="20.100000000000001" customHeight="1">
      <c r="A12" s="9" t="s">
        <v>187</v>
      </c>
      <c r="B12" s="8"/>
      <c r="C12" s="8"/>
    </row>
    <row r="13" spans="1:11">
      <c r="A13" s="1" t="s">
        <v>77</v>
      </c>
      <c r="B13" s="1" t="s">
        <v>78</v>
      </c>
      <c r="C13" s="1" t="s">
        <v>79</v>
      </c>
    </row>
    <row r="14" spans="1:11">
      <c r="A14" s="2" t="s">
        <v>152</v>
      </c>
      <c r="B14" s="2">
        <v>2500</v>
      </c>
      <c r="C14" s="3">
        <f>B14/SUM($B$14:$B$15)</f>
        <v>0.25</v>
      </c>
    </row>
    <row r="15" spans="1:11">
      <c r="A15" s="2" t="s">
        <v>81</v>
      </c>
      <c r="B15" s="2">
        <v>7500</v>
      </c>
      <c r="C15" s="3">
        <f>B15/SUM($B$14:$B$15)</f>
        <v>0.75</v>
      </c>
    </row>
    <row r="18" spans="1:4" ht="20.100000000000001" customHeight="1">
      <c r="A18" s="9" t="s">
        <v>188</v>
      </c>
      <c r="B18" s="8"/>
      <c r="C18" s="8"/>
    </row>
    <row r="19" spans="1:4">
      <c r="A19" s="1" t="s">
        <v>83</v>
      </c>
      <c r="B19" s="1" t="s">
        <v>78</v>
      </c>
      <c r="C19" s="1" t="s">
        <v>79</v>
      </c>
    </row>
    <row r="20" spans="1:4">
      <c r="A20" s="2">
        <v>1</v>
      </c>
      <c r="B20" s="2">
        <v>2500</v>
      </c>
      <c r="C20" s="3">
        <f>B20/SUM($B$20:$B$25)</f>
        <v>0.25</v>
      </c>
    </row>
    <row r="21" spans="1:4">
      <c r="A21" s="2">
        <v>2</v>
      </c>
      <c r="B21" s="2">
        <v>3000</v>
      </c>
      <c r="C21" s="3">
        <f>B21/SUM($B$20:$B$25)</f>
        <v>0.3</v>
      </c>
    </row>
    <row r="22" spans="1:4">
      <c r="A22" s="2">
        <v>3</v>
      </c>
      <c r="B22" s="2">
        <v>2300</v>
      </c>
      <c r="C22" s="3">
        <f>B22/SUM($B$20:$B$25)</f>
        <v>0.23</v>
      </c>
    </row>
    <row r="23" spans="1:4">
      <c r="A23" s="2">
        <v>4</v>
      </c>
      <c r="B23" s="2">
        <v>1400</v>
      </c>
      <c r="C23" s="3">
        <f>B23/SUM($B$20:$B$25)</f>
        <v>0.14000000000000001</v>
      </c>
    </row>
    <row r="24" spans="1:4">
      <c r="A24" s="2">
        <v>5</v>
      </c>
      <c r="B24" s="2">
        <v>600</v>
      </c>
      <c r="C24" s="3">
        <f>B24/SUM($B$20:$B$25)</f>
        <v>0.06</v>
      </c>
    </row>
    <row r="25" spans="1:4">
      <c r="A25" s="2">
        <v>6</v>
      </c>
      <c r="B25" s="2">
        <v>200</v>
      </c>
      <c r="C25" s="3">
        <f>B25/SUM($B$20:$B$25)</f>
        <v>0.02</v>
      </c>
    </row>
    <row r="28" spans="1:4" ht="20.100000000000001" customHeight="1">
      <c r="A28" s="9" t="s">
        <v>189</v>
      </c>
      <c r="B28" s="8"/>
      <c r="C28" s="8"/>
      <c r="D28" s="8"/>
    </row>
    <row r="29" spans="1:4">
      <c r="A29" s="1" t="s">
        <v>155</v>
      </c>
      <c r="B29" s="1" t="s">
        <v>78</v>
      </c>
      <c r="C29" s="1" t="s">
        <v>79</v>
      </c>
      <c r="D29" s="1" t="s">
        <v>5</v>
      </c>
    </row>
    <row r="30" spans="1:4">
      <c r="A30" s="2" t="s">
        <v>90</v>
      </c>
      <c r="B30" s="2">
        <v>4200</v>
      </c>
      <c r="C30" s="3">
        <f>B30/SUM($B$30:$B$34)</f>
        <v>0.42</v>
      </c>
      <c r="D30" s="2" t="s">
        <v>156</v>
      </c>
    </row>
    <row r="31" spans="1:4">
      <c r="A31" s="2" t="s">
        <v>92</v>
      </c>
      <c r="B31" s="2">
        <v>700</v>
      </c>
      <c r="C31" s="3">
        <f>B31/SUM($B$30:$B$34)</f>
        <v>7.0000000000000007E-2</v>
      </c>
      <c r="D31" s="2" t="s">
        <v>157</v>
      </c>
    </row>
    <row r="32" spans="1:4">
      <c r="A32" s="2" t="s">
        <v>94</v>
      </c>
      <c r="B32" s="2">
        <v>2500</v>
      </c>
      <c r="C32" s="3">
        <f>B32/SUM($B$30:$B$34)</f>
        <v>0.25</v>
      </c>
      <c r="D32" s="2" t="s">
        <v>95</v>
      </c>
    </row>
    <row r="33" spans="1:4">
      <c r="A33" s="2" t="s">
        <v>96</v>
      </c>
      <c r="B33" s="2">
        <v>2500</v>
      </c>
      <c r="C33" s="3">
        <f>B33/SUM($B$30:$B$34)</f>
        <v>0.25</v>
      </c>
      <c r="D33" s="2" t="s">
        <v>158</v>
      </c>
    </row>
    <row r="34" spans="1:4">
      <c r="A34" s="2" t="s">
        <v>98</v>
      </c>
      <c r="B34" s="2">
        <v>100</v>
      </c>
      <c r="C34" s="3">
        <f>B34/SUM($B$30:$B$34)</f>
        <v>0.01</v>
      </c>
      <c r="D34" s="2" t="s">
        <v>190</v>
      </c>
    </row>
    <row r="37" spans="1:4" ht="20.100000000000001" customHeight="1">
      <c r="A37" s="9" t="s">
        <v>191</v>
      </c>
      <c r="B37" s="8"/>
      <c r="C37" s="8"/>
    </row>
    <row r="38" spans="1:4">
      <c r="A38" s="1" t="s">
        <v>192</v>
      </c>
      <c r="B38" s="1" t="s">
        <v>193</v>
      </c>
      <c r="C38" s="1" t="s">
        <v>194</v>
      </c>
    </row>
    <row r="39" spans="1:4">
      <c r="A39" s="2" t="s">
        <v>94</v>
      </c>
      <c r="B39" s="2" t="s">
        <v>195</v>
      </c>
      <c r="C39" s="2" t="s">
        <v>196</v>
      </c>
    </row>
    <row r="40" spans="1:4">
      <c r="A40" s="2" t="s">
        <v>96</v>
      </c>
      <c r="B40" s="2" t="s">
        <v>197</v>
      </c>
      <c r="C40" s="2" t="s">
        <v>196</v>
      </c>
    </row>
    <row r="41" spans="1:4">
      <c r="A41" s="2" t="s">
        <v>98</v>
      </c>
      <c r="B41" s="2" t="s">
        <v>198</v>
      </c>
      <c r="C41" s="2" t="s">
        <v>199</v>
      </c>
    </row>
  </sheetData>
  <mergeCells count="7">
    <mergeCell ref="A28:D28"/>
    <mergeCell ref="A37:C37"/>
    <mergeCell ref="A1:H1"/>
    <mergeCell ref="A2:H2"/>
    <mergeCell ref="A4:C4"/>
    <mergeCell ref="A12:C12"/>
    <mergeCell ref="A18:C18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"/>
  <sheetViews>
    <sheetView zoomScaleNormal="100" zoomScaleSheetLayoutView="100" workbookViewId="0"/>
  </sheetViews>
  <sheetFormatPr defaultRowHeight="15"/>
  <cols>
    <col min="1" max="1" width="16" customWidth="1"/>
    <col min="2" max="2" width="18" customWidth="1"/>
    <col min="3" max="3" width="50" customWidth="1"/>
    <col min="4" max="4" width="16" customWidth="1"/>
    <col min="5" max="5" width="18" customWidth="1"/>
  </cols>
  <sheetData>
    <row r="1" spans="1:11" ht="27.95" customHeight="1">
      <c r="A1" s="5" t="s">
        <v>200</v>
      </c>
      <c r="B1" s="6"/>
      <c r="C1" s="6"/>
      <c r="D1" s="6"/>
      <c r="E1" s="6"/>
      <c r="F1" s="6"/>
      <c r="G1" s="6"/>
      <c r="H1" s="6"/>
      <c r="I1" s="2"/>
      <c r="J1" s="2"/>
      <c r="K1" s="2"/>
    </row>
    <row r="2" spans="1:11" ht="21.95" customHeight="1">
      <c r="A2" s="7" t="s">
        <v>201</v>
      </c>
      <c r="B2" s="8"/>
      <c r="C2" s="8"/>
      <c r="D2" s="8"/>
      <c r="E2" s="8"/>
      <c r="F2" s="8"/>
      <c r="G2" s="8"/>
      <c r="H2" s="8"/>
    </row>
    <row r="4" spans="1:11" ht="20.100000000000001" customHeight="1">
      <c r="A4" s="9" t="s">
        <v>202</v>
      </c>
      <c r="B4" s="8"/>
      <c r="C4" s="8"/>
    </row>
    <row r="5" spans="1:11">
      <c r="A5" s="1" t="s">
        <v>178</v>
      </c>
      <c r="B5" s="1" t="s">
        <v>78</v>
      </c>
      <c r="C5" s="1" t="s">
        <v>79</v>
      </c>
    </row>
    <row r="6" spans="1:11">
      <c r="A6" s="2">
        <v>0.5</v>
      </c>
      <c r="B6" s="2">
        <v>5000</v>
      </c>
      <c r="C6" s="3">
        <f>B6/SUM($B$6:$B$8)</f>
        <v>0.5</v>
      </c>
    </row>
    <row r="7" spans="1:11">
      <c r="A7" s="2">
        <v>0.75</v>
      </c>
      <c r="B7" s="2">
        <v>3000</v>
      </c>
      <c r="C7" s="3">
        <f>B7/SUM($B$6:$B$8)</f>
        <v>0.3</v>
      </c>
    </row>
    <row r="8" spans="1:11">
      <c r="A8" s="2">
        <v>1</v>
      </c>
      <c r="B8" s="2">
        <v>2000</v>
      </c>
      <c r="C8" s="3">
        <f>B8/SUM($B$6:$B$8)</f>
        <v>0.2</v>
      </c>
    </row>
    <row r="11" spans="1:11" ht="20.100000000000001" customHeight="1">
      <c r="A11" s="9" t="s">
        <v>203</v>
      </c>
      <c r="B11" s="8"/>
      <c r="C11" s="8"/>
    </row>
    <row r="12" spans="1:11">
      <c r="A12" s="1" t="s">
        <v>178</v>
      </c>
      <c r="B12" s="1" t="s">
        <v>78</v>
      </c>
      <c r="C12" s="1" t="s">
        <v>79</v>
      </c>
    </row>
    <row r="13" spans="1:11">
      <c r="A13" s="2">
        <v>1.5</v>
      </c>
      <c r="B13" s="2">
        <v>3500</v>
      </c>
      <c r="C13" s="3">
        <f>B13/SUM($B$13:$B$17)</f>
        <v>0.35</v>
      </c>
    </row>
    <row r="14" spans="1:11">
      <c r="A14" s="2">
        <v>2</v>
      </c>
      <c r="B14" s="2">
        <v>2500</v>
      </c>
      <c r="C14" s="3">
        <f>B14/SUM($B$13:$B$17)</f>
        <v>0.25</v>
      </c>
    </row>
    <row r="15" spans="1:11">
      <c r="A15" s="2">
        <v>3</v>
      </c>
      <c r="B15" s="2">
        <v>2000</v>
      </c>
      <c r="C15" s="3">
        <f>B15/SUM($B$13:$B$17)</f>
        <v>0.2</v>
      </c>
    </row>
    <row r="16" spans="1:11">
      <c r="A16" s="2">
        <v>4.5</v>
      </c>
      <c r="B16" s="2">
        <v>1500</v>
      </c>
      <c r="C16" s="3">
        <f>B16/SUM($B$13:$B$17)</f>
        <v>0.15</v>
      </c>
    </row>
    <row r="17" spans="1:5">
      <c r="A17" s="2">
        <v>7.5</v>
      </c>
      <c r="B17" s="2">
        <v>500</v>
      </c>
      <c r="C17" s="3">
        <f>B17/SUM($B$13:$B$17)</f>
        <v>0.05</v>
      </c>
    </row>
    <row r="20" spans="1:5" ht="20.100000000000001" customHeight="1">
      <c r="A20" s="9" t="s">
        <v>204</v>
      </c>
      <c r="B20" s="8"/>
      <c r="C20" s="8"/>
      <c r="D20" s="8"/>
      <c r="E20" s="8"/>
    </row>
    <row r="21" spans="1:5">
      <c r="A21" s="1" t="s">
        <v>205</v>
      </c>
      <c r="B21" s="1" t="s">
        <v>178</v>
      </c>
      <c r="C21" s="1" t="s">
        <v>78</v>
      </c>
      <c r="D21" s="1" t="s">
        <v>79</v>
      </c>
      <c r="E21" s="1" t="s">
        <v>206</v>
      </c>
    </row>
    <row r="22" spans="1:5">
      <c r="A22" s="2" t="s">
        <v>207</v>
      </c>
      <c r="B22" s="2">
        <v>7.5</v>
      </c>
      <c r="C22" s="2">
        <v>3500</v>
      </c>
      <c r="D22" s="3">
        <f>C22/SUM($C$22:$C$31)</f>
        <v>0.35</v>
      </c>
      <c r="E22" s="4">
        <f>B22*D22</f>
        <v>2.625</v>
      </c>
    </row>
    <row r="23" spans="1:5">
      <c r="A23" s="2" t="s">
        <v>207</v>
      </c>
      <c r="B23" s="2">
        <v>10</v>
      </c>
      <c r="C23" s="2">
        <v>2500</v>
      </c>
      <c r="D23" s="3">
        <f>C23/SUM($C$22:$C$31)</f>
        <v>0.25</v>
      </c>
      <c r="E23" s="4">
        <f>B23*D23</f>
        <v>2.5</v>
      </c>
    </row>
    <row r="24" spans="1:5">
      <c r="A24" s="2" t="s">
        <v>207</v>
      </c>
      <c r="B24" s="2">
        <v>15</v>
      </c>
      <c r="C24" s="2">
        <v>1600</v>
      </c>
      <c r="D24" s="3">
        <f>C24/SUM($C$22:$C$31)</f>
        <v>0.16</v>
      </c>
      <c r="E24" s="4">
        <f>B24*D24</f>
        <v>2.4</v>
      </c>
    </row>
    <row r="25" spans="1:5">
      <c r="A25" s="2" t="s">
        <v>207</v>
      </c>
      <c r="B25" s="2">
        <v>25</v>
      </c>
      <c r="C25" s="2">
        <v>1000</v>
      </c>
      <c r="D25" s="3">
        <f>C25/SUM($C$22:$C$31)</f>
        <v>0.1</v>
      </c>
      <c r="E25" s="4">
        <f>B25*D25</f>
        <v>2.5</v>
      </c>
    </row>
    <row r="26" spans="1:5">
      <c r="A26" s="2" t="s">
        <v>207</v>
      </c>
      <c r="B26" s="2">
        <v>50</v>
      </c>
      <c r="C26" s="2">
        <v>700</v>
      </c>
      <c r="D26" s="3">
        <f>C26/SUM($C$22:$C$31)</f>
        <v>7.0000000000000007E-2</v>
      </c>
      <c r="E26" s="4">
        <f>B26*D26</f>
        <v>3.5000000000000004</v>
      </c>
    </row>
    <row r="27" spans="1:5">
      <c r="A27" s="2" t="s">
        <v>207</v>
      </c>
      <c r="B27" s="2">
        <v>100</v>
      </c>
      <c r="C27" s="2">
        <v>400</v>
      </c>
      <c r="D27" s="3">
        <f>C27/SUM($C$22:$C$31)</f>
        <v>0.04</v>
      </c>
      <c r="E27" s="4">
        <f>B27*D27</f>
        <v>4</v>
      </c>
    </row>
    <row r="28" spans="1:5">
      <c r="A28" s="2" t="s">
        <v>208</v>
      </c>
      <c r="B28" s="2">
        <v>25</v>
      </c>
      <c r="C28" s="2">
        <v>180</v>
      </c>
      <c r="D28" s="3">
        <f>C28/SUM($C$22:$C$31)</f>
        <v>1.7999999999999999E-2</v>
      </c>
      <c r="E28" s="4">
        <f>B28*D28</f>
        <v>0.44999999999999996</v>
      </c>
    </row>
    <row r="29" spans="1:5">
      <c r="A29" s="2" t="s">
        <v>209</v>
      </c>
      <c r="B29" s="2">
        <v>100</v>
      </c>
      <c r="C29" s="2">
        <v>90</v>
      </c>
      <c r="D29" s="3">
        <f>C29/SUM($C$22:$C$31)</f>
        <v>8.9999999999999993E-3</v>
      </c>
      <c r="E29" s="4">
        <f>B29*D29</f>
        <v>0.89999999999999991</v>
      </c>
    </row>
    <row r="30" spans="1:5">
      <c r="A30" s="2" t="s">
        <v>210</v>
      </c>
      <c r="B30" s="2">
        <v>500</v>
      </c>
      <c r="C30" s="2">
        <v>25</v>
      </c>
      <c r="D30" s="3">
        <f>C30/SUM($C$22:$C$31)</f>
        <v>2.5000000000000001E-3</v>
      </c>
      <c r="E30" s="4">
        <f>B30*D30</f>
        <v>1.25</v>
      </c>
    </row>
    <row r="31" spans="1:5">
      <c r="A31" s="2" t="s">
        <v>211</v>
      </c>
      <c r="B31" s="2">
        <v>5000</v>
      </c>
      <c r="C31" s="2">
        <v>5</v>
      </c>
      <c r="D31" s="3">
        <f>C31/SUM($C$22:$C$31)</f>
        <v>5.0000000000000001E-4</v>
      </c>
      <c r="E31" s="4">
        <f>B31*D31</f>
        <v>2.5</v>
      </c>
    </row>
    <row r="32" spans="1:5">
      <c r="A32" s="2" t="s">
        <v>212</v>
      </c>
      <c r="B32" s="2"/>
      <c r="C32" s="2"/>
      <c r="D32" s="2"/>
      <c r="E32" s="4">
        <f>SUM(E22:E31)</f>
        <v>22.624999999999996</v>
      </c>
    </row>
    <row r="35" spans="1:3" ht="20.100000000000001" customHeight="1">
      <c r="A35" s="9" t="s">
        <v>213</v>
      </c>
      <c r="B35" s="8"/>
      <c r="C35" s="8"/>
    </row>
    <row r="36" spans="1:3">
      <c r="A36" s="1" t="s">
        <v>214</v>
      </c>
      <c r="B36" s="1" t="s">
        <v>215</v>
      </c>
      <c r="C36" s="1" t="s">
        <v>5</v>
      </c>
    </row>
    <row r="37" spans="1:3">
      <c r="A37" s="2" t="s">
        <v>208</v>
      </c>
      <c r="B37" s="2">
        <v>25</v>
      </c>
      <c r="C37" s="2" t="s">
        <v>216</v>
      </c>
    </row>
    <row r="38" spans="1:3">
      <c r="A38" s="2" t="s">
        <v>209</v>
      </c>
      <c r="B38" s="2">
        <v>100</v>
      </c>
      <c r="C38" s="2" t="s">
        <v>216</v>
      </c>
    </row>
    <row r="39" spans="1:3">
      <c r="A39" s="2" t="s">
        <v>210</v>
      </c>
      <c r="B39" s="2">
        <v>500</v>
      </c>
      <c r="C39" s="2" t="s">
        <v>216</v>
      </c>
    </row>
    <row r="40" spans="1:3">
      <c r="A40" s="2" t="s">
        <v>211</v>
      </c>
      <c r="B40" s="2">
        <v>5000</v>
      </c>
      <c r="C40" s="2" t="s">
        <v>217</v>
      </c>
    </row>
  </sheetData>
  <mergeCells count="6">
    <mergeCell ref="A35:C35"/>
    <mergeCell ref="A1:H1"/>
    <mergeCell ref="A2:H2"/>
    <mergeCell ref="A4:C4"/>
    <mergeCell ref="A11:C11"/>
    <mergeCell ref="A20:E2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8"/>
  <sheetViews>
    <sheetView zoomScaleNormal="100" zoomScaleSheetLayoutView="100" workbookViewId="0"/>
  </sheetViews>
  <sheetFormatPr defaultRowHeight="15"/>
  <cols>
    <col min="1" max="1" width="30" customWidth="1"/>
    <col min="2" max="2" width="70" customWidth="1"/>
    <col min="3" max="3" width="60" customWidth="1"/>
    <col min="4" max="4" width="20" customWidth="1"/>
  </cols>
  <sheetData>
    <row r="1" spans="1:11" ht="27.95" customHeight="1">
      <c r="A1" s="5" t="s">
        <v>218</v>
      </c>
      <c r="B1" s="6"/>
      <c r="C1" s="6"/>
      <c r="D1" s="6"/>
      <c r="E1" s="6"/>
      <c r="F1" s="6"/>
      <c r="G1" s="6"/>
      <c r="H1" s="6"/>
      <c r="I1" s="2"/>
      <c r="J1" s="2"/>
      <c r="K1" s="2"/>
    </row>
    <row r="2" spans="1:11" ht="21.95" customHeight="1">
      <c r="A2" s="7" t="s">
        <v>219</v>
      </c>
      <c r="B2" s="8"/>
      <c r="C2" s="8"/>
      <c r="D2" s="8"/>
      <c r="E2" s="8"/>
      <c r="F2" s="8"/>
      <c r="G2" s="8"/>
      <c r="H2" s="8"/>
    </row>
    <row r="4" spans="1:11" ht="20.100000000000001" customHeight="1">
      <c r="A4" s="9" t="s">
        <v>220</v>
      </c>
      <c r="B4" s="8"/>
      <c r="C4" s="8"/>
      <c r="D4" s="8"/>
    </row>
    <row r="5" spans="1:11">
      <c r="A5" s="1" t="s">
        <v>221</v>
      </c>
      <c r="B5" s="1" t="s">
        <v>222</v>
      </c>
      <c r="C5" s="1" t="s">
        <v>223</v>
      </c>
      <c r="D5" s="1" t="s">
        <v>224</v>
      </c>
    </row>
    <row r="6" spans="1:11">
      <c r="A6" s="2" t="s">
        <v>225</v>
      </c>
      <c r="B6" s="3">
        <v>0.35</v>
      </c>
      <c r="C6" s="3">
        <v>0.96</v>
      </c>
      <c r="D6" s="3">
        <f>B6*C6</f>
        <v>0.33599999999999997</v>
      </c>
    </row>
    <row r="7" spans="1:11">
      <c r="A7" s="2" t="s">
        <v>226</v>
      </c>
      <c r="B7" s="3">
        <v>0.08</v>
      </c>
      <c r="C7" s="3">
        <v>0.96</v>
      </c>
      <c r="D7" s="3">
        <f>B7*C7</f>
        <v>7.6799999999999993E-2</v>
      </c>
    </row>
    <row r="8" spans="1:11">
      <c r="A8" s="2" t="s">
        <v>227</v>
      </c>
      <c r="B8" s="3">
        <v>0.02</v>
      </c>
      <c r="C8" s="3">
        <v>0.96</v>
      </c>
      <c r="D8" s="3">
        <f>B8*C8</f>
        <v>1.9199999999999998E-2</v>
      </c>
    </row>
    <row r="9" spans="1:11">
      <c r="A9" s="2" t="s">
        <v>55</v>
      </c>
      <c r="B9" s="3">
        <v>0.32</v>
      </c>
      <c r="C9" s="3">
        <v>0.96</v>
      </c>
      <c r="D9" s="3">
        <f>B9*C9</f>
        <v>0.30719999999999997</v>
      </c>
    </row>
    <row r="10" spans="1:11">
      <c r="A10" s="2" t="s">
        <v>62</v>
      </c>
      <c r="B10" s="3">
        <v>0.16</v>
      </c>
      <c r="C10" s="3">
        <v>0.96</v>
      </c>
      <c r="D10" s="3">
        <f>B10*C10</f>
        <v>0.15359999999999999</v>
      </c>
    </row>
    <row r="11" spans="1:11">
      <c r="A11" s="2" t="s">
        <v>228</v>
      </c>
      <c r="B11" s="3">
        <v>0.03</v>
      </c>
      <c r="C11" s="3">
        <v>0.96</v>
      </c>
      <c r="D11" s="3">
        <f>B11*C11</f>
        <v>2.8799999999999999E-2</v>
      </c>
    </row>
    <row r="12" spans="1:11">
      <c r="A12" s="2" t="s">
        <v>229</v>
      </c>
      <c r="B12" s="3">
        <v>0.04</v>
      </c>
      <c r="C12" s="3">
        <v>0.96</v>
      </c>
      <c r="D12" s="3">
        <f>B12*C12</f>
        <v>3.8399999999999997E-2</v>
      </c>
    </row>
    <row r="13" spans="1:11">
      <c r="A13" s="2" t="s">
        <v>100</v>
      </c>
      <c r="B13" s="3">
        <f>SUM(B6:B12)</f>
        <v>1</v>
      </c>
      <c r="C13" s="3"/>
      <c r="D13" s="3">
        <f>SUM(D6:D12)</f>
        <v>0.95999999999999985</v>
      </c>
    </row>
    <row r="16" spans="1:11" ht="20.100000000000001" customHeight="1">
      <c r="A16" s="9" t="s">
        <v>230</v>
      </c>
      <c r="B16" s="8"/>
      <c r="C16" s="8"/>
    </row>
    <row r="17" spans="1:3">
      <c r="A17" s="1" t="s">
        <v>231</v>
      </c>
      <c r="B17" s="1" t="s">
        <v>232</v>
      </c>
      <c r="C17" s="1" t="s">
        <v>233</v>
      </c>
    </row>
    <row r="18" spans="1:3">
      <c r="A18" s="2" t="s">
        <v>234</v>
      </c>
      <c r="B18" s="2" t="s">
        <v>235</v>
      </c>
      <c r="C18" s="2" t="s">
        <v>236</v>
      </c>
    </row>
    <row r="19" spans="1:3">
      <c r="A19" s="2" t="s">
        <v>237</v>
      </c>
      <c r="B19" s="2" t="s">
        <v>238</v>
      </c>
      <c r="C19" s="2" t="s">
        <v>239</v>
      </c>
    </row>
    <row r="20" spans="1:3">
      <c r="A20" s="2" t="s">
        <v>240</v>
      </c>
      <c r="B20" s="2" t="s">
        <v>241</v>
      </c>
      <c r="C20" s="2" t="s">
        <v>242</v>
      </c>
    </row>
    <row r="21" spans="1:3">
      <c r="A21" s="2" t="s">
        <v>243</v>
      </c>
      <c r="B21" s="2" t="s">
        <v>244</v>
      </c>
      <c r="C21" s="2" t="s">
        <v>245</v>
      </c>
    </row>
    <row r="22" spans="1:3">
      <c r="A22" s="2" t="s">
        <v>246</v>
      </c>
      <c r="B22" s="2" t="s">
        <v>247</v>
      </c>
      <c r="C22" s="2" t="s">
        <v>248</v>
      </c>
    </row>
    <row r="23" spans="1:3">
      <c r="A23" s="2" t="s">
        <v>249</v>
      </c>
      <c r="B23" s="2" t="s">
        <v>250</v>
      </c>
      <c r="C23" s="2" t="s">
        <v>251</v>
      </c>
    </row>
    <row r="24" spans="1:3">
      <c r="A24" s="2" t="s">
        <v>252</v>
      </c>
      <c r="B24" s="2" t="s">
        <v>253</v>
      </c>
      <c r="C24" s="2" t="s">
        <v>254</v>
      </c>
    </row>
    <row r="25" spans="1:3">
      <c r="A25" s="2" t="s">
        <v>255</v>
      </c>
      <c r="B25" s="2" t="s">
        <v>256</v>
      </c>
      <c r="C25" s="2" t="s">
        <v>257</v>
      </c>
    </row>
    <row r="29" spans="1:3" ht="20.100000000000001" customHeight="1">
      <c r="A29" s="9" t="s">
        <v>258</v>
      </c>
      <c r="B29" s="8"/>
    </row>
    <row r="30" spans="1:3">
      <c r="A30" s="1" t="s">
        <v>259</v>
      </c>
      <c r="B30" s="1" t="s">
        <v>260</v>
      </c>
    </row>
    <row r="31" spans="1:3">
      <c r="A31" s="2" t="s">
        <v>261</v>
      </c>
      <c r="B31" s="2" t="s">
        <v>262</v>
      </c>
    </row>
    <row r="32" spans="1:3">
      <c r="A32" s="2" t="s">
        <v>263</v>
      </c>
      <c r="B32" s="2" t="s">
        <v>264</v>
      </c>
    </row>
    <row r="33" spans="1:2">
      <c r="A33" s="2" t="s">
        <v>265</v>
      </c>
      <c r="B33" s="2" t="s">
        <v>266</v>
      </c>
    </row>
    <row r="34" spans="1:2">
      <c r="A34" s="2" t="s">
        <v>267</v>
      </c>
      <c r="B34" s="2" t="s">
        <v>268</v>
      </c>
    </row>
    <row r="35" spans="1:2">
      <c r="A35" s="2" t="s">
        <v>269</v>
      </c>
      <c r="B35" s="2" t="s">
        <v>270</v>
      </c>
    </row>
    <row r="36" spans="1:2">
      <c r="A36" s="2" t="s">
        <v>271</v>
      </c>
      <c r="B36" s="2" t="s">
        <v>272</v>
      </c>
    </row>
    <row r="37" spans="1:2">
      <c r="A37" s="2" t="s">
        <v>273</v>
      </c>
      <c r="B37" s="2" t="s">
        <v>274</v>
      </c>
    </row>
    <row r="38" spans="1:2">
      <c r="A38" s="2" t="s">
        <v>275</v>
      </c>
      <c r="B38" s="2" t="s">
        <v>276</v>
      </c>
    </row>
  </sheetData>
  <mergeCells count="5">
    <mergeCell ref="A1:H1"/>
    <mergeCell ref="A2:H2"/>
    <mergeCell ref="A4:D4"/>
    <mergeCell ref="A16:C16"/>
    <mergeCell ref="A29:B2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7"/>
  <sheetViews>
    <sheetView zoomScaleNormal="100" zoomScaleSheetLayoutView="100" workbookViewId="0"/>
  </sheetViews>
  <sheetFormatPr defaultRowHeight="15"/>
  <cols>
    <col min="1" max="1" width="26" customWidth="1"/>
    <col min="2" max="2" width="90" customWidth="1"/>
  </cols>
  <sheetData>
    <row r="1" spans="1:11" ht="27.95" customHeight="1">
      <c r="A1" s="5" t="s">
        <v>277</v>
      </c>
      <c r="B1" s="6"/>
      <c r="C1" s="6"/>
      <c r="D1" s="6"/>
      <c r="E1" s="6"/>
      <c r="F1" s="6"/>
      <c r="G1" s="6"/>
      <c r="H1" s="6"/>
      <c r="I1" s="2"/>
      <c r="J1" s="2"/>
      <c r="K1" s="2"/>
    </row>
    <row r="2" spans="1:11" ht="21.95" customHeight="1">
      <c r="A2" s="7" t="s">
        <v>278</v>
      </c>
      <c r="B2" s="8"/>
      <c r="C2" s="8"/>
      <c r="D2" s="8"/>
      <c r="E2" s="8"/>
      <c r="F2" s="8"/>
      <c r="G2" s="8"/>
      <c r="H2" s="8"/>
    </row>
    <row r="4" spans="1:11" ht="20.100000000000001" customHeight="1">
      <c r="A4" s="9" t="s">
        <v>279</v>
      </c>
      <c r="B4" s="8"/>
    </row>
    <row r="5" spans="1:11">
      <c r="A5" s="1" t="s">
        <v>280</v>
      </c>
      <c r="B5" s="1" t="s">
        <v>281</v>
      </c>
    </row>
    <row r="6" spans="1:11">
      <c r="A6" s="2" t="s">
        <v>282</v>
      </c>
      <c r="B6" s="2" t="s">
        <v>283</v>
      </c>
    </row>
    <row r="7" spans="1:11">
      <c r="A7" s="2" t="s">
        <v>284</v>
      </c>
      <c r="B7" s="2" t="s">
        <v>285</v>
      </c>
    </row>
    <row r="8" spans="1:11">
      <c r="A8" s="2" t="s">
        <v>286</v>
      </c>
      <c r="B8" s="2" t="s">
        <v>287</v>
      </c>
    </row>
    <row r="9" spans="1:11">
      <c r="A9" s="2" t="s">
        <v>288</v>
      </c>
      <c r="B9" s="2" t="s">
        <v>289</v>
      </c>
    </row>
    <row r="10" spans="1:11">
      <c r="A10" s="2" t="s">
        <v>290</v>
      </c>
      <c r="B10" s="2" t="s">
        <v>291</v>
      </c>
    </row>
    <row r="11" spans="1:11">
      <c r="A11" s="2" t="s">
        <v>292</v>
      </c>
      <c r="B11" s="2" t="s">
        <v>293</v>
      </c>
    </row>
    <row r="12" spans="1:11">
      <c r="A12" s="2" t="s">
        <v>294</v>
      </c>
      <c r="B12" s="2" t="s">
        <v>295</v>
      </c>
    </row>
    <row r="13" spans="1:11">
      <c r="A13" s="2" t="s">
        <v>296</v>
      </c>
      <c r="B13" s="2" t="s">
        <v>297</v>
      </c>
    </row>
    <row r="14" spans="1:11">
      <c r="A14" s="2" t="s">
        <v>298</v>
      </c>
      <c r="B14" s="2" t="s">
        <v>299</v>
      </c>
    </row>
    <row r="15" spans="1:11">
      <c r="A15" s="2" t="s">
        <v>300</v>
      </c>
      <c r="B15" s="2" t="s">
        <v>301</v>
      </c>
    </row>
    <row r="16" spans="1:11">
      <c r="A16" s="2" t="s">
        <v>302</v>
      </c>
      <c r="B16" s="2" t="s">
        <v>303</v>
      </c>
    </row>
    <row r="17" spans="1:2">
      <c r="A17" s="2" t="s">
        <v>304</v>
      </c>
      <c r="B17" s="2" t="s">
        <v>305</v>
      </c>
    </row>
    <row r="18" spans="1:2">
      <c r="A18" s="2" t="s">
        <v>306</v>
      </c>
      <c r="B18" s="2" t="s">
        <v>307</v>
      </c>
    </row>
    <row r="21" spans="1:2" ht="20.100000000000001" customHeight="1">
      <c r="A21" s="9" t="s">
        <v>308</v>
      </c>
      <c r="B21" s="8"/>
    </row>
    <row r="22" spans="1:2">
      <c r="A22" s="1" t="s">
        <v>309</v>
      </c>
      <c r="B22" s="1" t="s">
        <v>310</v>
      </c>
    </row>
    <row r="23" spans="1:2">
      <c r="A23" s="2" t="s">
        <v>311</v>
      </c>
      <c r="B23" s="2" t="s">
        <v>312</v>
      </c>
    </row>
    <row r="24" spans="1:2">
      <c r="A24" s="2" t="s">
        <v>313</v>
      </c>
      <c r="B24" s="2" t="s">
        <v>314</v>
      </c>
    </row>
    <row r="25" spans="1:2">
      <c r="A25" s="2" t="s">
        <v>315</v>
      </c>
      <c r="B25" s="2" t="s">
        <v>316</v>
      </c>
    </row>
    <row r="26" spans="1:2">
      <c r="A26" s="2" t="s">
        <v>317</v>
      </c>
      <c r="B26" s="2" t="s">
        <v>318</v>
      </c>
    </row>
    <row r="27" spans="1:2">
      <c r="A27" s="2" t="s">
        <v>319</v>
      </c>
      <c r="B27" s="2" t="s">
        <v>320</v>
      </c>
    </row>
  </sheetData>
  <mergeCells count="4">
    <mergeCell ref="A1:H1"/>
    <mergeCell ref="A2:H2"/>
    <mergeCell ref="A4:B4"/>
    <mergeCell ref="A21:B2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2026-05-12T20:19:34Z</dcterms:created>
  <dcterms:modified xsi:type="dcterms:W3CDTF">2026-05-12T20:19:34Z</dcterms:modified>
  <cp:category/>
  <cp:contentStatus/>
</cp:coreProperties>
</file>